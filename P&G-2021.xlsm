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ESH\Desktop\VBA PROJECTS\Naresh Vba\"/>
    </mc:Choice>
  </mc:AlternateContent>
  <xr:revisionPtr revIDLastSave="0" documentId="13_ncr:1_{ABE50582-7C77-44DC-A446-C2771631BF09}" xr6:coauthVersionLast="47" xr6:coauthVersionMax="47" xr10:uidLastSave="{00000000-0000-0000-0000-000000000000}"/>
  <bookViews>
    <workbookView xWindow="-108" yWindow="-108" windowWidth="23256" windowHeight="12456" xr2:uid="{3F94FF71-6036-42B4-B8AD-8CBDF7583A9B}"/>
  </bookViews>
  <sheets>
    <sheet name="Sales Data" sheetId="1" r:id="rId1"/>
    <sheet name="Cons Statement of Earnings 2021" sheetId="3" r:id="rId2"/>
    <sheet name="Cons Statement Comp Income 2021" sheetId="4" r:id="rId3"/>
    <sheet name="Cons Balance Sheet 2021" sheetId="5" r:id="rId4"/>
    <sheet name="Cons Statement of SE 2021" sheetId="6" r:id="rId5"/>
    <sheet name="Cons Statement of Cash 202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7" l="1"/>
  <c r="B37" i="7" s="1"/>
  <c r="B38" i="7" s="1"/>
  <c r="B27" i="7"/>
  <c r="B19" i="7"/>
  <c r="D40" i="6"/>
  <c r="C40" i="6"/>
  <c r="B40" i="6"/>
  <c r="K39" i="6"/>
  <c r="K38" i="6"/>
  <c r="K37" i="6"/>
  <c r="K36" i="6"/>
  <c r="K35" i="6"/>
  <c r="K34" i="6"/>
  <c r="K33" i="6"/>
  <c r="K32" i="6"/>
  <c r="K31" i="6"/>
  <c r="K30" i="6"/>
  <c r="J29" i="6"/>
  <c r="J40" i="6" s="1"/>
  <c r="D29" i="6"/>
  <c r="C29" i="6"/>
  <c r="B29" i="6"/>
  <c r="K28" i="6"/>
  <c r="K27" i="6"/>
  <c r="K26" i="6"/>
  <c r="K25" i="6"/>
  <c r="K24" i="6"/>
  <c r="K23" i="6"/>
  <c r="K22" i="6"/>
  <c r="K20" i="6"/>
  <c r="K19" i="6"/>
  <c r="J18" i="6"/>
  <c r="I18" i="6"/>
  <c r="I29" i="6" s="1"/>
  <c r="I40" i="6" s="1"/>
  <c r="H18" i="6"/>
  <c r="H29" i="6" s="1"/>
  <c r="H40" i="6" s="1"/>
  <c r="G18" i="6"/>
  <c r="G29" i="6" s="1"/>
  <c r="G40" i="6" s="1"/>
  <c r="F18" i="6"/>
  <c r="F29" i="6" s="1"/>
  <c r="F40" i="6" s="1"/>
  <c r="E18" i="6"/>
  <c r="E29" i="6" s="1"/>
  <c r="E40" i="6" s="1"/>
  <c r="D18" i="6"/>
  <c r="C18" i="6"/>
  <c r="B18" i="6"/>
  <c r="K17" i="6"/>
  <c r="K16" i="6"/>
  <c r="K15" i="6"/>
  <c r="K14" i="6"/>
  <c r="K13" i="6"/>
  <c r="K12" i="6"/>
  <c r="K11" i="6"/>
  <c r="K9" i="6"/>
  <c r="K8" i="6"/>
  <c r="K18" i="6" s="1"/>
  <c r="K29" i="6" s="1"/>
  <c r="K40" i="6" s="1"/>
  <c r="K7" i="6"/>
  <c r="B42" i="5"/>
  <c r="B27" i="5"/>
  <c r="B31" i="5" s="1"/>
  <c r="B13" i="5"/>
  <c r="B15" i="5" s="1"/>
  <c r="B20" i="5" s="1"/>
  <c r="B10" i="4"/>
  <c r="B11" i="4" s="1"/>
  <c r="B13" i="4" s="1"/>
  <c r="B43" i="5" l="1"/>
</calcChain>
</file>

<file path=xl/sharedStrings.xml><?xml version="1.0" encoding="utf-8"?>
<sst xmlns="http://schemas.openxmlformats.org/spreadsheetml/2006/main" count="301" uniqueCount="187">
  <si>
    <t>Segment</t>
  </si>
  <si>
    <t>2021 % of Net Sales</t>
  </si>
  <si>
    <t>Fabric Care</t>
  </si>
  <si>
    <t>Home Care</t>
  </si>
  <si>
    <t>Baby Care</t>
  </si>
  <si>
    <t>Skin and Personal Care</t>
  </si>
  <si>
    <t>Hair Care</t>
  </si>
  <si>
    <t>Family Care</t>
  </si>
  <si>
    <t>Oral Care</t>
  </si>
  <si>
    <t>Shave Care</t>
  </si>
  <si>
    <t>Feminine Care</t>
  </si>
  <si>
    <t>Personal Health Care</t>
  </si>
  <si>
    <t>All Other</t>
  </si>
  <si>
    <t>TOTAL</t>
  </si>
  <si>
    <t>Category</t>
  </si>
  <si>
    <t>NET SALES - United States</t>
  </si>
  <si>
    <t>$33.7</t>
  </si>
  <si>
    <t>NET SALES - International</t>
  </si>
  <si>
    <t>$42.4</t>
  </si>
  <si>
    <t>LONG-LIVED ASSETS - United States</t>
  </si>
  <si>
    <t>$10.1</t>
  </si>
  <si>
    <t>LONG-LIVED ASSETS - International</t>
  </si>
  <si>
    <t>$11.6</t>
  </si>
  <si>
    <t>Net Sales ($M)</t>
  </si>
  <si>
    <t>Earnings Before Income Taxes ($M)</t>
  </si>
  <si>
    <t>Net Earnings ($M)</t>
  </si>
  <si>
    <t>Depreciation &amp; Amortization ($M)</t>
  </si>
  <si>
    <t>Total Assets ($M)</t>
  </si>
  <si>
    <t>Capital Expenditures ($M)</t>
  </si>
  <si>
    <t>BEAUTY</t>
  </si>
  <si>
    <t>GROOMING</t>
  </si>
  <si>
    <t>HEALTH CARE</t>
  </si>
  <si>
    <t>FABRIC &amp; HOME CARE</t>
  </si>
  <si>
    <t>BABY, FEMININE &amp; FAMILY CARE</t>
  </si>
  <si>
    <t>CORPORATE</t>
  </si>
  <si>
    <t>TOTAL COMPANY</t>
  </si>
  <si>
    <t>The Procter &amp; Gamble Company</t>
  </si>
  <si>
    <t>Consolidated Statements of Earnings</t>
  </si>
  <si>
    <t/>
  </si>
  <si>
    <t>Amounts in millions except per share amounts; Years ended June 30</t>
  </si>
  <si>
    <t> </t>
  </si>
  <si>
    <t>NET SALES</t>
  </si>
  <si>
    <t>Cost of products sold</t>
  </si>
  <si>
    <t>Selling, general and administrative expense</t>
  </si>
  <si>
    <t>Goodwill and indefinite-lived intangibles impairment charges</t>
  </si>
  <si>
    <t>OPERATING INCOME</t>
  </si>
  <si>
    <t>Interest expense</t>
  </si>
  <si>
    <t>Interest income</t>
  </si>
  <si>
    <t>Other non-operating income, net</t>
  </si>
  <si>
    <t>EARNINGS BEFORE INCOME TAXES</t>
  </si>
  <si>
    <t xml:space="preserve">Income taxes </t>
  </si>
  <si>
    <t xml:space="preserve">NET EARNINGS </t>
  </si>
  <si>
    <t>Less: Net earnings attributable to noncontrolling interests</t>
  </si>
  <si>
    <t>NET EARNINGS ATTRIBUTABLE TO PROCTER &amp; GAMBLE</t>
  </si>
  <si>
    <r>
      <t xml:space="preserve">NET EARNINGS PER COMMON SHARE: </t>
    </r>
    <r>
      <rPr>
        <b/>
        <vertAlign val="superscript"/>
        <sz val="10"/>
        <color rgb="FF000000"/>
        <rFont val="Times New Roman"/>
        <family val="1"/>
      </rPr>
      <t>(1)</t>
    </r>
  </si>
  <si>
    <t>Basic</t>
  </si>
  <si>
    <t>Diluted</t>
  </si>
  <si>
    <r>
      <t xml:space="preserve">(1)       </t>
    </r>
    <r>
      <rPr>
        <sz val="10"/>
        <color rgb="FF000000"/>
        <rFont val="Times New Roman"/>
        <family val="1"/>
      </rPr>
      <t>Basic net earnings per common share and Diluted net earnings per common share are calculated on Net earnings attributable to Procter &amp; Gamble.</t>
    </r>
  </si>
  <si>
    <t>Consolidated Statements of Comprehensive Income</t>
  </si>
  <si>
    <t>Amounts in millions; Years ended June 30</t>
  </si>
  <si>
    <t>NET EARNINGS</t>
  </si>
  <si>
    <t>OTHER COMPREHENSIVE INCOME/(LOSS), NET OF TAX</t>
  </si>
  <si>
    <t>Foreign currency translation (net of tax of $(266), $59 and $78, respectively)</t>
  </si>
  <si>
    <r>
      <rPr>
        <sz val="10"/>
        <color rgb="FF000000"/>
        <rFont val="Times New Roman"/>
        <family val="1"/>
      </rPr>
      <t xml:space="preserve">Unrealized gains/(losses) on investment securities (net of tax of </t>
    </r>
    <r>
      <rPr>
        <sz val="10"/>
        <rFont val="Times New Roman"/>
        <family val="1"/>
      </rPr>
      <t>$5</t>
    </r>
    <r>
      <rPr>
        <sz val="10"/>
        <color rgb="FF000000"/>
        <rFont val="Times New Roman"/>
        <family val="1"/>
      </rPr>
      <t>, $(1) and $0, respectively)</t>
    </r>
  </si>
  <si>
    <r>
      <rPr>
        <sz val="10"/>
        <color rgb="FF000000"/>
        <rFont val="Times New Roman"/>
        <family val="1"/>
      </rPr>
      <t xml:space="preserve">Unrealized gains/(losses) on defined benefit retirement plans (net of tax of </t>
    </r>
    <r>
      <rPr>
        <sz val="10"/>
        <rFont val="Times New Roman"/>
        <family val="1"/>
      </rPr>
      <t>$445</t>
    </r>
    <r>
      <rPr>
        <sz val="10"/>
        <color rgb="FF000000"/>
        <rFont val="Times New Roman"/>
        <family val="1"/>
      </rPr>
      <t>, $(42) and $22, respectively)</t>
    </r>
  </si>
  <si>
    <t>TOTAL OTHER COMPREHENSIVE INCOME/(LOSS), NET OF TAX</t>
  </si>
  <si>
    <t>TOTAL COMPREHENSIVE INCOME</t>
  </si>
  <si>
    <t>Less:  Total comprehensive income attributable to noncontrolling interests</t>
  </si>
  <si>
    <t>TOTAL COMPREHENSIVE INCOME ATTRIBUTABLE TO PROCTER &amp; GAMBLE</t>
  </si>
  <si>
    <t>Consolidated Balance Sheets</t>
  </si>
  <si>
    <t>Amounts in millions except stated values; As of June 30</t>
  </si>
  <si>
    <t>ASSETS</t>
  </si>
  <si>
    <t>CURRENT ASSETS</t>
  </si>
  <si>
    <t>Cash and cash equivalents</t>
  </si>
  <si>
    <t>Accounts receivable</t>
  </si>
  <si>
    <t>Inventories</t>
  </si>
  <si>
    <t>Materials and supplies</t>
  </si>
  <si>
    <t>Work in process</t>
  </si>
  <si>
    <t>Finished goods</t>
  </si>
  <si>
    <t>Total inventories</t>
  </si>
  <si>
    <t>Prepaid expenses and other current assets</t>
  </si>
  <si>
    <t>TOTAL CURRENT ASSETS</t>
  </si>
  <si>
    <t>PROPERTY, PLANT AND EQUIPMENT, NET</t>
  </si>
  <si>
    <t>GOODWILL</t>
  </si>
  <si>
    <t>TRADEMARKS AND OTHER INTANGIBLE ASSETS, NET</t>
  </si>
  <si>
    <t>OTHER NONCURRENT ASSETS</t>
  </si>
  <si>
    <t>TOTAL ASSETS</t>
  </si>
  <si>
    <t>LIABILITIES AND SHAREHOLDERS' EQUITY</t>
  </si>
  <si>
    <t>CURRENT LIABILITIES</t>
  </si>
  <si>
    <t>Accounts payable</t>
  </si>
  <si>
    <t>Accrued and other liabilities</t>
  </si>
  <si>
    <t>Debt due within one year</t>
  </si>
  <si>
    <t>TOTAL CURRENT LIABILITIES</t>
  </si>
  <si>
    <t>LONG-TERM DEBT</t>
  </si>
  <si>
    <t>DEFERRED INCOME TAXES</t>
  </si>
  <si>
    <t>OTHER NONCURRENT LIABILITIES</t>
  </si>
  <si>
    <t>TOTAL LIABILITIES</t>
  </si>
  <si>
    <t>SHAREHOLDERS' EQUITY</t>
  </si>
  <si>
    <t>Convertible Class A preferred stock, stated value $1 per share (600 shares authorized)</t>
  </si>
  <si>
    <t>Non-Voting Class B preferred stock, stated value $1 per share (200 shares authorized)</t>
  </si>
  <si>
    <t>Common stock, stated value $1 per share (10,000 shares authorized; shares issued: 
2021 - 4,009.2, 2020 - 4,009.2)</t>
  </si>
  <si>
    <t>Additional paid-in capital</t>
  </si>
  <si>
    <t>Reserve for ESOP debt retirement</t>
  </si>
  <si>
    <t>Accumulated other comprehensive loss</t>
  </si>
  <si>
    <t>Treasury stock, at cost (shares held:  2021 - 1,579.5, 2020 -1,529.5)</t>
  </si>
  <si>
    <t>Retained earnings</t>
  </si>
  <si>
    <t>Noncontrolling interest</t>
  </si>
  <si>
    <t>TOTAL SHAREHOLDERS' EQUITY</t>
  </si>
  <si>
    <t>TOTAL LIABILITIES AND SHAREHOLDERS' EQUITY</t>
  </si>
  <si>
    <t>Consolidated Statements of Shareholders' Equity</t>
  </si>
  <si>
    <t>Common Stock</t>
  </si>
  <si>
    <t>Dollars in millions except per share amounts; shares in thousands</t>
  </si>
  <si>
    <t>Shares</t>
  </si>
  <si>
    <t>Amount</t>
  </si>
  <si>
    <t>Preferred Stock</t>
  </si>
  <si>
    <t>Additional Paid-In Capital</t>
  </si>
  <si>
    <t>Reserve for ESOP Debt Retirement</t>
  </si>
  <si>
    <t>Accumulated Other Comprehensive Income/(Loss)</t>
  </si>
  <si>
    <t>Treasury Stock</t>
  </si>
  <si>
    <t>Retained Earnings</t>
  </si>
  <si>
    <t>Non-controlling Interest</t>
  </si>
  <si>
    <t>Total Shareholders' Equity</t>
  </si>
  <si>
    <t>BALANCE JUNE 30, 2018</t>
  </si>
  <si>
    <t>Impact of adoption of new accounting standards</t>
  </si>
  <si>
    <t>Net earnings</t>
  </si>
  <si>
    <t>Other comprehensive income/(loss)</t>
  </si>
  <si>
    <t>Dividends and dividend equivalents ($2.8975 per share):</t>
  </si>
  <si>
    <t>Common</t>
  </si>
  <si>
    <t>Preferred</t>
  </si>
  <si>
    <t>Treasury stock purchases</t>
  </si>
  <si>
    <t>Employee stock plans</t>
  </si>
  <si>
    <t>Preferred stock conversions</t>
  </si>
  <si>
    <t>ESOP debt impacts</t>
  </si>
  <si>
    <t>Noncontrolling interest, net</t>
  </si>
  <si>
    <t>BALANCE JUNE 30, 2019</t>
  </si>
  <si>
    <t>Dividends and dividend equivalents ($3.0284 per share):</t>
  </si>
  <si>
    <t>BALANCE JUNE 30, 2020</t>
  </si>
  <si>
    <t>Dividends and dividend equivalents ($3.2419 per share):</t>
  </si>
  <si>
    <t>BALANCE JUNE 30, 2021</t>
  </si>
  <si>
    <t>Consolidated Statements of Cash Flows</t>
  </si>
  <si>
    <t>Amounts in millions; Years ended June 30</t>
  </si>
  <si>
    <t>CASH, CASH EQUIVALENTS AND RESTRICTED CASH, BEGINNING OF YEAR</t>
  </si>
  <si>
    <t>OPERATING ACTIVITIES</t>
  </si>
  <si>
    <t>Depreciation and amortization</t>
  </si>
  <si>
    <t>Loss on early extinguishment of debt</t>
  </si>
  <si>
    <t>Share-based compensation expense</t>
  </si>
  <si>
    <t>Deferred income taxes</t>
  </si>
  <si>
    <t>Loss/(gain) on sale of assets</t>
  </si>
  <si>
    <t>Goodwill and indefinite-lived intangible impairment charges</t>
  </si>
  <si>
    <t>Change in accounts receivable</t>
  </si>
  <si>
    <t>Change in inventories</t>
  </si>
  <si>
    <t>Change in accounts payable, accrued and other liabilities</t>
  </si>
  <si>
    <t>Change in other operating assets and liabilities</t>
  </si>
  <si>
    <t>Other</t>
  </si>
  <si>
    <t>TOTAL OPERATING ACTIVITIES</t>
  </si>
  <si>
    <t>INVESTING ACTIVITIES</t>
  </si>
  <si>
    <t>Capital expenditures</t>
  </si>
  <si>
    <t>Proceeds from asset sales</t>
  </si>
  <si>
    <t>Acquisitions, net of cash acquired</t>
  </si>
  <si>
    <t>Purchases of investment securities</t>
  </si>
  <si>
    <t>Proceeds from sales and maturities of investment securities</t>
  </si>
  <si>
    <t>Change in other investments</t>
  </si>
  <si>
    <t>TOTAL INVESTING ACTIVITIES</t>
  </si>
  <si>
    <t>FINANCING ACTIVITIES</t>
  </si>
  <si>
    <t>Dividends to shareholders</t>
  </si>
  <si>
    <t>Increases/(reductions) in short-term debt</t>
  </si>
  <si>
    <t>Additions to long-term debt</t>
  </si>
  <si>
    <r>
      <t xml:space="preserve">Reductions of long-term debt </t>
    </r>
    <r>
      <rPr>
        <vertAlign val="superscript"/>
        <sz val="10"/>
        <color rgb="FF000000"/>
        <rFont val="Times New Roman"/>
        <family val="1"/>
      </rPr>
      <t>(1)</t>
    </r>
  </si>
  <si>
    <t>Impact of stock options and other</t>
  </si>
  <si>
    <t>TOTAL FINANCING ACTIVITIES</t>
  </si>
  <si>
    <t>EFFECT OF EXCHANGE RATE CHANGES ON CASH, CASH EQUIVALENTS AND RESTRICTED CASH</t>
  </si>
  <si>
    <t>CHANGE IN CASH, CASH EQUIVALENTS AND RESTRICTED CASH</t>
  </si>
  <si>
    <t>CASH, CASH EQUIVALENTS AND RESTRICTED CASH, END OF YEAR</t>
  </si>
  <si>
    <t>SUPPLEMENTAL DISCLOSURE</t>
  </si>
  <si>
    <t>Cash payments for interest</t>
  </si>
  <si>
    <t>Cash payments for income taxes</t>
  </si>
  <si>
    <r>
      <rPr>
        <vertAlign val="superscript"/>
        <sz val="10"/>
        <color rgb="FF000000"/>
        <rFont val="Times New Roman"/>
        <family val="1"/>
      </rPr>
      <t>(1)</t>
    </r>
    <r>
      <rPr>
        <sz val="10"/>
        <color rgb="FF000000"/>
        <rFont val="Times New Roman"/>
        <family val="1"/>
      </rPr>
      <t xml:space="preserve">  Includes early extinguishment of debt costs of $512 in 2021.</t>
    </r>
  </si>
  <si>
    <t>Accrued Expenses</t>
  </si>
  <si>
    <t>Other Current Liabilities</t>
  </si>
  <si>
    <t>Marketing and promotion</t>
  </si>
  <si>
    <t>Restructuring reserves</t>
  </si>
  <si>
    <t>Compensation expenses</t>
  </si>
  <si>
    <t>Taxes payable</t>
  </si>
  <si>
    <t>Leases</t>
  </si>
  <si>
    <t>2021 ($M)</t>
  </si>
  <si>
    <t>Total Accrued Expenses</t>
  </si>
  <si>
    <t>Total Other Current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</si>
</sst>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yyyy"/>
    <numFmt numFmtId="165" formatCode="_(&quot;$&quot;* #,##0.00_);_(&quot;$&quot;* \(#,##0.00\);_(&quot;$&quot;* &quot;-&quot;??_);_(@_)"/>
    <numFmt numFmtId="166" formatCode="_(&quot;$&quot;* #,##0_);_(&quot;$&quot;* \(#,##0\);_(&quot;$&quot;* &quot;-&quot;??_);_(@_)"/>
    <numFmt numFmtId="167" formatCode="_(* #,##0.00_);_(* \(#,##0.00\);_(* &quot;-&quot;??_);_(@_)"/>
    <numFmt numFmtId="168" formatCode="_(* #,##0_);_(* \(#,##0\);_(* &quot;-&quot;??_);_(@_)"/>
    <numFmt numFmtId="169" formatCode="_(&quot;$&quot;* #,##0_);_(&quot;$&quot;* \(#,##0\);_(&quot;$&quot;* &quot;—&quot;_);_(@_)"/>
    <numFmt numFmtId="170" formatCode="_(#,##0_);_(\(#,##0\);_(&quot;—&quot;_);_(@_)"/>
    <numFmt numFmtId="171" formatCode="_(#,##0,,_);_(\(#,##0,,\);_(&quot;—&quot;_);_(@_)"/>
    <numFmt numFmtId="172" formatCode="_(&quot;$&quot;* #,##0,,_);_(&quot;$&quot;* \(#,##0,,\);_(&quot;$&quot;* &quot;—&quot;_);_(@_)"/>
    <numFmt numFmtId="173" formatCode="_(&quot;$&quot;* #,##0,,_)_%;_(&quot;$&quot;* \(#,##0,,\)_%;_(&quot;$&quot;* &quot;—&quot;_);_(@_)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8"/>
      <color rgb="FF000000"/>
      <name val="Times New Roman"/>
      <family val="1"/>
    </font>
    <font>
      <sz val="8"/>
      <color rgb="FF000000"/>
      <name val="Times New Roman"/>
      <family val="1"/>
    </font>
    <font>
      <sz val="10"/>
      <color rgb="FF000000"/>
      <name val="Times New Roman"/>
      <family val="1"/>
    </font>
    <font>
      <b/>
      <u/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vertAlign val="superscript"/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b/>
      <sz val="11"/>
      <color indexed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u/>
      <sz val="8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ashDot">
        <color auto="1"/>
      </right>
      <top/>
      <bottom style="thin">
        <color auto="1"/>
      </bottom>
      <diagonal/>
    </border>
    <border>
      <left/>
      <right style="dashDot">
        <color auto="1"/>
      </right>
      <top style="thin">
        <color auto="1"/>
      </top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/>
      <top style="thin">
        <color indexed="64"/>
      </top>
      <bottom style="thin">
        <color auto="1"/>
      </bottom>
      <diagonal/>
    </border>
    <border>
      <left/>
      <right style="dashDot">
        <color auto="1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2" fillId="0" borderId="0"/>
    <xf numFmtId="165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40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0" applyNumberFormat="1"/>
    <xf numFmtId="0" fontId="1" fillId="0" borderId="1" xfId="0" applyFont="1" applyBorder="1" applyAlignment="1">
      <alignment horizontal="center" vertical="top"/>
    </xf>
    <xf numFmtId="3" fontId="0" fillId="0" borderId="0" xfId="0" applyNumberFormat="1" applyAlignment="1">
      <alignment vertical="center" wrapText="1"/>
    </xf>
    <xf numFmtId="0" fontId="3" fillId="0" borderId="0" xfId="1" applyFont="1" applyAlignment="1">
      <alignment wrapText="1"/>
    </xf>
    <xf numFmtId="0" fontId="2" fillId="0" borderId="0" xfId="1" applyAlignment="1">
      <alignment wrapText="1"/>
    </xf>
    <xf numFmtId="0" fontId="4" fillId="0" borderId="0" xfId="1" applyFont="1" applyAlignment="1">
      <alignment horizontal="center" wrapText="1"/>
    </xf>
    <xf numFmtId="0" fontId="5" fillId="0" borderId="0" xfId="1" applyFont="1" applyAlignment="1">
      <alignment horizontal="left" wrapText="1"/>
    </xf>
    <xf numFmtId="0" fontId="6" fillId="0" borderId="0" xfId="1" applyFont="1" applyAlignment="1">
      <alignment horizontal="left"/>
    </xf>
    <xf numFmtId="0" fontId="6" fillId="0" borderId="0" xfId="1" applyFont="1" applyAlignment="1">
      <alignment horizontal="left" wrapText="1"/>
    </xf>
    <xf numFmtId="0" fontId="7" fillId="0" borderId="0" xfId="1" applyFont="1" applyAlignment="1">
      <alignment wrapText="1"/>
    </xf>
    <xf numFmtId="164" fontId="4" fillId="0" borderId="2" xfId="1" applyNumberFormat="1" applyFont="1" applyBorder="1" applyAlignment="1">
      <alignment horizontal="center"/>
    </xf>
    <xf numFmtId="0" fontId="8" fillId="2" borderId="0" xfId="1" applyFont="1" applyFill="1" applyAlignment="1">
      <alignment wrapText="1"/>
    </xf>
    <xf numFmtId="166" fontId="8" fillId="2" borderId="3" xfId="2" applyNumberFormat="1" applyFont="1" applyFill="1" applyBorder="1" applyAlignment="1"/>
    <xf numFmtId="0" fontId="6" fillId="2" borderId="0" xfId="1" applyFont="1" applyFill="1" applyAlignment="1">
      <alignment horizontal="left"/>
    </xf>
    <xf numFmtId="166" fontId="6" fillId="2" borderId="3" xfId="2" applyNumberFormat="1" applyFont="1" applyFill="1" applyBorder="1" applyAlignment="1"/>
    <xf numFmtId="0" fontId="6" fillId="0" borderId="0" xfId="1" applyFont="1" applyAlignment="1">
      <alignment wrapText="1" indent="3"/>
    </xf>
    <xf numFmtId="168" fontId="8" fillId="0" borderId="0" xfId="3" applyNumberFormat="1" applyFont="1" applyAlignment="1"/>
    <xf numFmtId="168" fontId="6" fillId="0" borderId="0" xfId="3" applyNumberFormat="1" applyFont="1" applyAlignment="1"/>
    <xf numFmtId="0" fontId="6" fillId="2" borderId="0" xfId="1" applyFont="1" applyFill="1" applyAlignment="1">
      <alignment wrapText="1" indent="3"/>
    </xf>
    <xf numFmtId="168" fontId="8" fillId="2" borderId="0" xfId="3" applyNumberFormat="1" applyFont="1" applyFill="1" applyAlignment="1"/>
    <xf numFmtId="168" fontId="6" fillId="2" borderId="0" xfId="3" applyNumberFormat="1" applyFont="1" applyFill="1" applyAlignment="1"/>
    <xf numFmtId="168" fontId="8" fillId="2" borderId="4" xfId="3" applyNumberFormat="1" applyFont="1" applyFill="1" applyBorder="1" applyAlignment="1"/>
    <xf numFmtId="168" fontId="6" fillId="2" borderId="4" xfId="3" applyNumberFormat="1" applyFont="1" applyFill="1" applyBorder="1" applyAlignment="1"/>
    <xf numFmtId="168" fontId="8" fillId="0" borderId="3" xfId="3" applyNumberFormat="1" applyFont="1" applyBorder="1" applyAlignment="1"/>
    <xf numFmtId="168" fontId="6" fillId="0" borderId="3" xfId="3" applyNumberFormat="1" applyFont="1" applyBorder="1" applyAlignment="1"/>
    <xf numFmtId="168" fontId="8" fillId="0" borderId="2" xfId="3" applyNumberFormat="1" applyFont="1" applyBorder="1" applyAlignment="1"/>
    <xf numFmtId="168" fontId="6" fillId="0" borderId="2" xfId="3" applyNumberFormat="1" applyFont="1" applyBorder="1" applyAlignment="1"/>
    <xf numFmtId="166" fontId="8" fillId="2" borderId="5" xfId="2" applyNumberFormat="1" applyFont="1" applyFill="1" applyBorder="1" applyAlignment="1"/>
    <xf numFmtId="166" fontId="6" fillId="2" borderId="5" xfId="2" applyNumberFormat="1" applyFont="1" applyFill="1" applyBorder="1" applyAlignment="1"/>
    <xf numFmtId="165" fontId="8" fillId="0" borderId="0" xfId="2" applyFont="1" applyAlignment="1"/>
    <xf numFmtId="165" fontId="6" fillId="0" borderId="0" xfId="2" applyFont="1" applyAlignment="1"/>
    <xf numFmtId="165" fontId="8" fillId="2" borderId="0" xfId="2" applyFont="1" applyFill="1" applyAlignment="1"/>
    <xf numFmtId="165" fontId="6" fillId="2" borderId="0" xfId="2" applyFont="1" applyFill="1" applyAlignment="1"/>
    <xf numFmtId="0" fontId="11" fillId="0" borderId="0" xfId="1" applyFont="1"/>
    <xf numFmtId="0" fontId="4" fillId="0" borderId="0" xfId="1" applyFont="1" applyAlignment="1">
      <alignment wrapText="1"/>
    </xf>
    <xf numFmtId="0" fontId="6" fillId="0" borderId="0" xfId="1" applyFont="1"/>
    <xf numFmtId="0" fontId="12" fillId="2" borderId="0" xfId="1" applyFont="1" applyFill="1" applyAlignment="1">
      <alignment wrapText="1"/>
    </xf>
    <xf numFmtId="166" fontId="8" fillId="2" borderId="4" xfId="2" applyNumberFormat="1" applyFont="1" applyFill="1" applyBorder="1" applyAlignment="1"/>
    <xf numFmtId="168" fontId="6" fillId="2" borderId="0" xfId="3" applyNumberFormat="1" applyFont="1" applyFill="1" applyAlignment="1">
      <alignment horizontal="left"/>
    </xf>
    <xf numFmtId="166" fontId="6" fillId="2" borderId="4" xfId="2" applyNumberFormat="1" applyFont="1" applyFill="1" applyBorder="1" applyAlignment="1"/>
    <xf numFmtId="0" fontId="12" fillId="0" borderId="0" xfId="1" applyFont="1" applyAlignment="1">
      <alignment wrapText="1"/>
    </xf>
    <xf numFmtId="0" fontId="8" fillId="0" borderId="0" xfId="1" applyFont="1" applyAlignment="1">
      <alignment horizontal="left"/>
    </xf>
    <xf numFmtId="0" fontId="13" fillId="2" borderId="0" xfId="1" applyFont="1" applyFill="1" applyAlignment="1">
      <alignment wrapText="1" indent="1"/>
    </xf>
    <xf numFmtId="0" fontId="13" fillId="0" borderId="0" xfId="1" applyFont="1" applyAlignment="1">
      <alignment wrapText="1" indent="1"/>
    </xf>
    <xf numFmtId="168" fontId="8" fillId="0" borderId="0" xfId="3" applyNumberFormat="1" applyFont="1" applyFill="1" applyAlignment="1"/>
    <xf numFmtId="168" fontId="6" fillId="0" borderId="0" xfId="3" applyNumberFormat="1" applyFont="1" applyFill="1" applyAlignment="1">
      <alignment horizontal="left"/>
    </xf>
    <xf numFmtId="168" fontId="6" fillId="0" borderId="0" xfId="3" applyNumberFormat="1" applyFont="1" applyFill="1" applyAlignment="1"/>
    <xf numFmtId="168" fontId="8" fillId="2" borderId="2" xfId="3" applyNumberFormat="1" applyFont="1" applyFill="1" applyBorder="1" applyAlignment="1"/>
    <xf numFmtId="168" fontId="6" fillId="2" borderId="2" xfId="3" applyNumberFormat="1" applyFont="1" applyFill="1" applyBorder="1" applyAlignment="1"/>
    <xf numFmtId="0" fontId="8" fillId="0" borderId="0" xfId="1" applyFont="1" applyAlignment="1">
      <alignment wrapText="1"/>
    </xf>
    <xf numFmtId="168" fontId="8" fillId="0" borderId="4" xfId="3" applyNumberFormat="1" applyFont="1" applyFill="1" applyBorder="1" applyAlignment="1"/>
    <xf numFmtId="168" fontId="6" fillId="0" borderId="4" xfId="3" applyNumberFormat="1" applyFont="1" applyFill="1" applyBorder="1" applyAlignment="1"/>
    <xf numFmtId="0" fontId="5" fillId="0" borderId="0" xfId="1" applyFont="1" applyAlignment="1">
      <alignment horizontal="left"/>
    </xf>
    <xf numFmtId="0" fontId="5" fillId="0" borderId="0" xfId="1" applyFont="1"/>
    <xf numFmtId="0" fontId="14" fillId="0" borderId="0" xfId="1" applyFont="1" applyAlignment="1">
      <alignment wrapText="1"/>
    </xf>
    <xf numFmtId="0" fontId="7" fillId="2" borderId="0" xfId="1" applyFont="1" applyFill="1" applyAlignment="1">
      <alignment wrapText="1"/>
    </xf>
    <xf numFmtId="0" fontId="6" fillId="2" borderId="0" xfId="1" applyFont="1" applyFill="1" applyAlignment="1">
      <alignment wrapText="1"/>
    </xf>
    <xf numFmtId="0" fontId="6" fillId="0" borderId="0" xfId="1" applyFont="1" applyAlignment="1">
      <alignment wrapText="1"/>
    </xf>
    <xf numFmtId="169" fontId="8" fillId="2" borderId="0" xfId="1" applyNumberFormat="1" applyFont="1" applyFill="1"/>
    <xf numFmtId="169" fontId="6" fillId="2" borderId="0" xfId="1" applyNumberFormat="1" applyFont="1" applyFill="1"/>
    <xf numFmtId="170" fontId="8" fillId="0" borderId="0" xfId="1" applyNumberFormat="1" applyFont="1"/>
    <xf numFmtId="170" fontId="6" fillId="0" borderId="0" xfId="1" applyNumberFormat="1" applyFont="1"/>
    <xf numFmtId="0" fontId="8" fillId="2" borderId="0" xfId="1" applyFont="1" applyFill="1" applyAlignment="1">
      <alignment wrapText="1" indent="3"/>
    </xf>
    <xf numFmtId="170" fontId="6" fillId="2" borderId="0" xfId="1" applyNumberFormat="1" applyFont="1" applyFill="1"/>
    <xf numFmtId="170" fontId="6" fillId="2" borderId="0" xfId="1" applyNumberFormat="1" applyFont="1" applyFill="1" applyAlignment="1">
      <alignment horizontal="left"/>
    </xf>
    <xf numFmtId="0" fontId="6" fillId="0" borderId="0" xfId="1" applyFont="1" applyAlignment="1">
      <alignment wrapText="1" indent="5"/>
    </xf>
    <xf numFmtId="0" fontId="6" fillId="2" borderId="0" xfId="1" applyFont="1" applyFill="1" applyAlignment="1">
      <alignment wrapText="1" indent="5"/>
    </xf>
    <xf numFmtId="170" fontId="8" fillId="2" borderId="0" xfId="1" applyNumberFormat="1" applyFont="1" applyFill="1"/>
    <xf numFmtId="170" fontId="8" fillId="0" borderId="2" xfId="1" applyNumberFormat="1" applyFont="1" applyBorder="1"/>
    <xf numFmtId="170" fontId="6" fillId="0" borderId="2" xfId="1" applyNumberFormat="1" applyFont="1" applyBorder="1"/>
    <xf numFmtId="170" fontId="8" fillId="2" borderId="2" xfId="1" applyNumberFormat="1" applyFont="1" applyFill="1" applyBorder="1"/>
    <xf numFmtId="170" fontId="6" fillId="2" borderId="4" xfId="1" applyNumberFormat="1" applyFont="1" applyFill="1" applyBorder="1"/>
    <xf numFmtId="170" fontId="6" fillId="2" borderId="2" xfId="1" applyNumberFormat="1" applyFont="1" applyFill="1" applyBorder="1"/>
    <xf numFmtId="169" fontId="8" fillId="0" borderId="5" xfId="1" applyNumberFormat="1" applyFont="1" applyBorder="1"/>
    <xf numFmtId="169" fontId="6" fillId="0" borderId="5" xfId="1" applyNumberFormat="1" applyFont="1" applyBorder="1"/>
    <xf numFmtId="169" fontId="8" fillId="0" borderId="0" xfId="1" applyNumberFormat="1" applyFont="1"/>
    <xf numFmtId="169" fontId="6" fillId="0" borderId="0" xfId="1" applyNumberFormat="1" applyFont="1"/>
    <xf numFmtId="170" fontId="8" fillId="2" borderId="4" xfId="1" applyNumberFormat="1" applyFont="1" applyFill="1" applyBorder="1"/>
    <xf numFmtId="170" fontId="6" fillId="0" borderId="4" xfId="1" applyNumberFormat="1" applyFont="1" applyBorder="1"/>
    <xf numFmtId="169" fontId="8" fillId="2" borderId="6" xfId="1" applyNumberFormat="1" applyFont="1" applyFill="1" applyBorder="1"/>
    <xf numFmtId="169" fontId="6" fillId="2" borderId="6" xfId="1" applyNumberFormat="1" applyFont="1" applyFill="1" applyBorder="1"/>
    <xf numFmtId="9" fontId="11" fillId="0" borderId="0" xfId="4" applyFont="1" applyFill="1"/>
    <xf numFmtId="171" fontId="6" fillId="0" borderId="0" xfId="1" applyNumberFormat="1" applyFont="1"/>
    <xf numFmtId="172" fontId="6" fillId="0" borderId="0" xfId="1" applyNumberFormat="1" applyFont="1"/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8" fontId="6" fillId="2" borderId="8" xfId="3" applyNumberFormat="1" applyFont="1" applyFill="1" applyBorder="1" applyAlignment="1"/>
    <xf numFmtId="168" fontId="6" fillId="0" borderId="9" xfId="3" applyNumberFormat="1" applyFont="1" applyFill="1" applyBorder="1" applyAlignment="1">
      <alignment horizontal="left"/>
    </xf>
    <xf numFmtId="166" fontId="6" fillId="0" borderId="0" xfId="2" applyNumberFormat="1" applyFont="1" applyFill="1" applyBorder="1" applyAlignment="1"/>
    <xf numFmtId="168" fontId="6" fillId="2" borderId="9" xfId="3" applyNumberFormat="1" applyFont="1" applyFill="1" applyBorder="1" applyAlignment="1">
      <alignment horizontal="left"/>
    </xf>
    <xf numFmtId="168" fontId="6" fillId="2" borderId="0" xfId="3" applyNumberFormat="1" applyFont="1" applyFill="1" applyBorder="1" applyAlignment="1">
      <alignment horizontal="left"/>
    </xf>
    <xf numFmtId="168" fontId="6" fillId="2" borderId="0" xfId="3" applyNumberFormat="1" applyFont="1" applyFill="1" applyBorder="1" applyAlignment="1"/>
    <xf numFmtId="0" fontId="6" fillId="2" borderId="0" xfId="1" applyFont="1" applyFill="1"/>
    <xf numFmtId="0" fontId="6" fillId="0" borderId="0" xfId="1" applyFont="1" applyAlignment="1">
      <alignment horizontal="left" wrapText="1" indent="3"/>
    </xf>
    <xf numFmtId="0" fontId="6" fillId="2" borderId="0" xfId="1" applyFont="1" applyFill="1" applyAlignment="1">
      <alignment horizontal="left" wrapText="1" indent="3"/>
    </xf>
    <xf numFmtId="168" fontId="6" fillId="0" borderId="9" xfId="3" applyNumberFormat="1" applyFont="1" applyFill="1" applyBorder="1" applyAlignment="1"/>
    <xf numFmtId="168" fontId="6" fillId="2" borderId="9" xfId="3" applyNumberFormat="1" applyFont="1" applyFill="1" applyBorder="1" applyAlignment="1"/>
    <xf numFmtId="168" fontId="6" fillId="2" borderId="10" xfId="3" applyNumberFormat="1" applyFont="1" applyFill="1" applyBorder="1" applyAlignment="1"/>
    <xf numFmtId="166" fontId="6" fillId="2" borderId="11" xfId="2" applyNumberFormat="1" applyFont="1" applyFill="1" applyBorder="1" applyAlignment="1"/>
    <xf numFmtId="168" fontId="6" fillId="0" borderId="0" xfId="3" applyNumberFormat="1" applyFont="1" applyFill="1" applyAlignment="1">
      <alignment horizontal="right"/>
    </xf>
    <xf numFmtId="168" fontId="6" fillId="0" borderId="10" xfId="3" applyNumberFormat="1" applyFont="1" applyFill="1" applyBorder="1" applyAlignment="1"/>
    <xf numFmtId="166" fontId="6" fillId="0" borderId="11" xfId="2" applyNumberFormat="1" applyFont="1" applyFill="1" applyBorder="1" applyAlignment="1"/>
    <xf numFmtId="166" fontId="6" fillId="0" borderId="4" xfId="2" applyNumberFormat="1" applyFont="1" applyFill="1" applyBorder="1" applyAlignment="1"/>
    <xf numFmtId="168" fontId="8" fillId="2" borderId="9" xfId="3" applyNumberFormat="1" applyFont="1" applyFill="1" applyBorder="1" applyAlignment="1">
      <alignment horizontal="left"/>
    </xf>
    <xf numFmtId="168" fontId="8" fillId="2" borderId="0" xfId="2" applyNumberFormat="1" applyFont="1" applyFill="1" applyBorder="1" applyAlignment="1"/>
    <xf numFmtId="168" fontId="8" fillId="2" borderId="0" xfId="3" applyNumberFormat="1" applyFont="1" applyFill="1" applyBorder="1" applyAlignment="1"/>
    <xf numFmtId="168" fontId="8" fillId="0" borderId="9" xfId="3" applyNumberFormat="1" applyFont="1" applyFill="1" applyBorder="1" applyAlignment="1">
      <alignment horizontal="left"/>
    </xf>
    <xf numFmtId="168" fontId="8" fillId="0" borderId="0" xfId="2" applyNumberFormat="1" applyFont="1" applyFill="1" applyBorder="1" applyAlignment="1"/>
    <xf numFmtId="168" fontId="8" fillId="2" borderId="9" xfId="3" applyNumberFormat="1" applyFont="1" applyFill="1" applyBorder="1" applyAlignment="1"/>
    <xf numFmtId="168" fontId="8" fillId="0" borderId="9" xfId="3" applyNumberFormat="1" applyFont="1" applyFill="1" applyBorder="1" applyAlignment="1"/>
    <xf numFmtId="168" fontId="8" fillId="2" borderId="12" xfId="3" applyNumberFormat="1" applyFont="1" applyFill="1" applyBorder="1" applyAlignment="1">
      <alignment horizontal="left"/>
    </xf>
    <xf numFmtId="0" fontId="10" fillId="0" borderId="0" xfId="1" applyFont="1" applyAlignment="1">
      <alignment wrapText="1"/>
    </xf>
    <xf numFmtId="0" fontId="10" fillId="0" borderId="0" xfId="1" applyFont="1"/>
    <xf numFmtId="0" fontId="14" fillId="0" borderId="0" xfId="1" applyFont="1" applyAlignment="1">
      <alignment horizontal="left"/>
    </xf>
    <xf numFmtId="166" fontId="6" fillId="2" borderId="0" xfId="2" applyNumberFormat="1" applyFont="1" applyFill="1" applyAlignment="1">
      <alignment wrapText="1"/>
    </xf>
    <xf numFmtId="0" fontId="8" fillId="0" borderId="0" xfId="1" applyFont="1"/>
    <xf numFmtId="168" fontId="6" fillId="2" borderId="0" xfId="3" applyNumberFormat="1" applyFont="1" applyFill="1" applyAlignment="1">
      <alignment wrapText="1"/>
    </xf>
    <xf numFmtId="168" fontId="6" fillId="0" borderId="0" xfId="3" applyNumberFormat="1" applyFont="1" applyFill="1" applyAlignment="1">
      <alignment wrapText="1"/>
    </xf>
    <xf numFmtId="168" fontId="6" fillId="2" borderId="0" xfId="3" applyNumberFormat="1" applyFont="1" applyFill="1" applyAlignment="1">
      <alignment horizontal="left" indent="5"/>
    </xf>
    <xf numFmtId="168" fontId="8" fillId="2" borderId="0" xfId="3" applyNumberFormat="1" applyFont="1" applyFill="1" applyAlignment="1">
      <alignment horizontal="left" indent="5"/>
    </xf>
    <xf numFmtId="0" fontId="8" fillId="2" borderId="0" xfId="1" applyFont="1" applyFill="1" applyAlignment="1">
      <alignment horizontal="left" wrapText="1"/>
    </xf>
    <xf numFmtId="168" fontId="8" fillId="0" borderId="0" xfId="3" applyNumberFormat="1" applyFont="1" applyFill="1" applyAlignment="1">
      <alignment horizontal="right"/>
    </xf>
    <xf numFmtId="168" fontId="10" fillId="0" borderId="0" xfId="3" quotePrefix="1" applyNumberFormat="1" applyFont="1" applyFill="1" applyAlignment="1">
      <alignment wrapText="1"/>
    </xf>
    <xf numFmtId="168" fontId="8" fillId="2" borderId="3" xfId="3" applyNumberFormat="1" applyFont="1" applyFill="1" applyBorder="1" applyAlignment="1"/>
    <xf numFmtId="168" fontId="6" fillId="2" borderId="3" xfId="3" applyNumberFormat="1" applyFont="1" applyFill="1" applyBorder="1" applyAlignment="1"/>
    <xf numFmtId="0" fontId="8" fillId="0" borderId="0" xfId="1" applyFont="1" applyAlignment="1">
      <alignment horizontal="left" wrapText="1"/>
    </xf>
    <xf numFmtId="166" fontId="8" fillId="0" borderId="5" xfId="2" applyNumberFormat="1" applyFont="1" applyFill="1" applyBorder="1" applyAlignment="1"/>
    <xf numFmtId="166" fontId="6" fillId="0" borderId="5" xfId="2" applyNumberFormat="1" applyFont="1" applyFill="1" applyBorder="1" applyAlignment="1"/>
    <xf numFmtId="173" fontId="8" fillId="0" borderId="0" xfId="1" applyNumberFormat="1" applyFont="1" applyAlignment="1">
      <alignment horizontal="left"/>
    </xf>
    <xf numFmtId="0" fontId="6" fillId="2" borderId="0" xfId="1" applyFont="1" applyFill="1" applyAlignment="1">
      <alignment horizontal="left" wrapText="1"/>
    </xf>
    <xf numFmtId="166" fontId="8" fillId="2" borderId="0" xfId="2" applyNumberFormat="1" applyFont="1" applyFill="1" applyAlignment="1"/>
    <xf numFmtId="166" fontId="6" fillId="2" borderId="0" xfId="2" applyNumberFormat="1" applyFont="1" applyFill="1" applyAlignment="1"/>
    <xf numFmtId="0" fontId="1" fillId="0" borderId="0" xfId="0" applyFont="1" applyAlignment="1">
      <alignment vertical="center" wrapText="1"/>
    </xf>
    <xf numFmtId="3" fontId="1" fillId="0" borderId="0" xfId="0" applyNumberFormat="1" applyFont="1" applyAlignment="1">
      <alignment vertical="center" wrapText="1"/>
    </xf>
    <xf numFmtId="0" fontId="10" fillId="0" borderId="0" xfId="1" applyFont="1" applyAlignment="1">
      <alignment horizontal="left" wrapText="1"/>
    </xf>
    <xf numFmtId="0" fontId="11" fillId="0" borderId="0" xfId="1" applyFont="1" applyAlignment="1">
      <alignment horizontal="left"/>
    </xf>
    <xf numFmtId="0" fontId="4" fillId="0" borderId="2" xfId="1" applyFont="1" applyBorder="1" applyAlignment="1">
      <alignment horizontal="center" wrapText="1"/>
    </xf>
  </cellXfs>
  <cellStyles count="5">
    <cellStyle name="Comma 2" xfId="3" xr:uid="{5F352A8E-D772-42CC-A0FC-3CD4EAD3005E}"/>
    <cellStyle name="Currency 2" xfId="2" xr:uid="{B155E7C5-58AE-4D28-9F85-258F17240716}"/>
    <cellStyle name="Normal" xfId="0" builtinId="0"/>
    <cellStyle name="Normal 2" xfId="1" xr:uid="{DEC84A6D-426B-4015-A9BE-5CB84ED59F01}"/>
    <cellStyle name="Percent 2" xfId="4" xr:uid="{17000D8E-25CF-428C-BB72-5581D978428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F566-B8A3-4CC8-A2B9-6E52515285AA}">
  <sheetPr codeName="Sheet1"/>
  <dimension ref="A1:P23"/>
  <sheetViews>
    <sheetView tabSelected="1" workbookViewId="0">
      <selection activeCell="O6" sqref="O6"/>
    </sheetView>
  </sheetViews>
  <sheetFormatPr defaultRowHeight="14.4" x14ac:dyDescent="0.3"/>
  <cols>
    <col min="1" max="1" width="19" bestFit="1" customWidth="1"/>
    <col min="2" max="2" width="17.21875" bestFit="1" customWidth="1"/>
    <col min="3" max="4" width="8" bestFit="1" customWidth="1"/>
    <col min="5" max="5" width="8.5546875" bestFit="1" customWidth="1"/>
    <col min="6" max="6" width="30" bestFit="1" customWidth="1"/>
    <col min="7" max="7" width="6" bestFit="1" customWidth="1"/>
    <col min="8" max="9" width="5.5546875" bestFit="1" customWidth="1"/>
    <col min="13" max="13" width="13.44140625" customWidth="1"/>
    <col min="14" max="14" width="11.33203125" customWidth="1"/>
    <col min="15" max="15" width="18.6640625" customWidth="1"/>
    <col min="16" max="16" width="9.6640625" customWidth="1"/>
  </cols>
  <sheetData>
    <row r="1" spans="1:16" ht="57.6" x14ac:dyDescent="0.3">
      <c r="A1" s="4" t="s">
        <v>0</v>
      </c>
      <c r="B1" s="4" t="s">
        <v>1</v>
      </c>
      <c r="F1" s="4" t="s">
        <v>14</v>
      </c>
      <c r="G1" s="4">
        <v>2021</v>
      </c>
      <c r="H1" s="4"/>
      <c r="I1" s="4"/>
      <c r="M1" s="1" t="s">
        <v>177</v>
      </c>
      <c r="N1" s="1" t="s">
        <v>184</v>
      </c>
      <c r="O1" s="1" t="s">
        <v>178</v>
      </c>
      <c r="P1" s="1" t="s">
        <v>184</v>
      </c>
    </row>
    <row r="2" spans="1:16" ht="57.6" x14ac:dyDescent="0.3">
      <c r="A2" t="s">
        <v>2</v>
      </c>
      <c r="B2" s="3">
        <v>0.22</v>
      </c>
      <c r="F2" t="s">
        <v>15</v>
      </c>
      <c r="G2" t="s">
        <v>16</v>
      </c>
      <c r="M2" s="2" t="s">
        <v>179</v>
      </c>
      <c r="N2" s="5">
        <v>3531</v>
      </c>
      <c r="O2" s="2" t="s">
        <v>180</v>
      </c>
      <c r="P2" s="2">
        <v>472</v>
      </c>
    </row>
    <row r="3" spans="1:16" ht="43.2" x14ac:dyDescent="0.3">
      <c r="A3" t="s">
        <v>3</v>
      </c>
      <c r="B3" s="3">
        <v>0.12</v>
      </c>
      <c r="F3" t="s">
        <v>17</v>
      </c>
      <c r="G3" t="s">
        <v>18</v>
      </c>
      <c r="M3" s="2" t="s">
        <v>181</v>
      </c>
      <c r="N3" s="5">
        <v>1921</v>
      </c>
      <c r="O3" s="2" t="s">
        <v>182</v>
      </c>
      <c r="P3" s="2">
        <v>693</v>
      </c>
    </row>
    <row r="4" spans="1:16" x14ac:dyDescent="0.3">
      <c r="A4" t="s">
        <v>4</v>
      </c>
      <c r="B4" s="3">
        <v>0.1</v>
      </c>
      <c r="F4" t="s">
        <v>19</v>
      </c>
      <c r="G4" t="s">
        <v>20</v>
      </c>
      <c r="M4" s="2"/>
      <c r="N4" s="2"/>
      <c r="O4" s="2" t="s">
        <v>183</v>
      </c>
      <c r="P4" s="2">
        <v>239</v>
      </c>
    </row>
    <row r="5" spans="1:16" x14ac:dyDescent="0.3">
      <c r="A5" t="s">
        <v>5</v>
      </c>
      <c r="B5" s="3">
        <v>0.1</v>
      </c>
      <c r="F5" t="s">
        <v>21</v>
      </c>
      <c r="G5" t="s">
        <v>22</v>
      </c>
      <c r="M5" s="2"/>
      <c r="N5" s="2"/>
      <c r="O5" s="2" t="s">
        <v>153</v>
      </c>
      <c r="P5" s="5">
        <v>2866</v>
      </c>
    </row>
    <row r="6" spans="1:16" ht="28.8" x14ac:dyDescent="0.3">
      <c r="A6" t="s">
        <v>6</v>
      </c>
      <c r="B6" s="3">
        <v>0.09</v>
      </c>
      <c r="M6" s="1" t="s">
        <v>185</v>
      </c>
      <c r="N6" s="136">
        <v>5452</v>
      </c>
      <c r="O6" s="1" t="s">
        <v>186</v>
      </c>
      <c r="P6" s="136">
        <v>4270</v>
      </c>
    </row>
    <row r="7" spans="1:16" x14ac:dyDescent="0.3">
      <c r="A7" t="s">
        <v>7</v>
      </c>
      <c r="B7" s="3">
        <v>0.09</v>
      </c>
      <c r="M7" s="2"/>
      <c r="N7" s="2"/>
      <c r="O7" s="135" t="s">
        <v>13</v>
      </c>
      <c r="P7" s="136">
        <v>10523</v>
      </c>
    </row>
    <row r="8" spans="1:16" x14ac:dyDescent="0.3">
      <c r="A8" t="s">
        <v>8</v>
      </c>
      <c r="B8" s="3">
        <v>0.08</v>
      </c>
    </row>
    <row r="9" spans="1:16" x14ac:dyDescent="0.3">
      <c r="A9" t="s">
        <v>9</v>
      </c>
      <c r="B9" s="3">
        <v>7.0000000000000007E-2</v>
      </c>
    </row>
    <row r="10" spans="1:16" x14ac:dyDescent="0.3">
      <c r="A10" t="s">
        <v>10</v>
      </c>
      <c r="B10" s="3">
        <v>0.06</v>
      </c>
    </row>
    <row r="11" spans="1:16" x14ac:dyDescent="0.3">
      <c r="A11" t="s">
        <v>11</v>
      </c>
      <c r="B11" s="3">
        <v>0.05</v>
      </c>
    </row>
    <row r="12" spans="1:16" x14ac:dyDescent="0.3">
      <c r="A12" t="s">
        <v>12</v>
      </c>
      <c r="B12" s="3">
        <v>0.02</v>
      </c>
    </row>
    <row r="13" spans="1:16" x14ac:dyDescent="0.3">
      <c r="A13" t="s">
        <v>13</v>
      </c>
      <c r="B13" s="3">
        <v>1</v>
      </c>
    </row>
    <row r="16" spans="1:16" ht="72" x14ac:dyDescent="0.3">
      <c r="A16" s="1" t="s">
        <v>0</v>
      </c>
      <c r="B16" s="1" t="s">
        <v>23</v>
      </c>
      <c r="C16" s="1" t="s">
        <v>24</v>
      </c>
      <c r="D16" s="1" t="s">
        <v>25</v>
      </c>
      <c r="E16" s="1" t="s">
        <v>26</v>
      </c>
      <c r="F16" s="1" t="s">
        <v>27</v>
      </c>
      <c r="G16" s="1" t="s">
        <v>28</v>
      </c>
    </row>
    <row r="17" spans="1:7" x14ac:dyDescent="0.3">
      <c r="A17" s="2" t="s">
        <v>29</v>
      </c>
      <c r="B17" s="5">
        <v>14417</v>
      </c>
      <c r="C17" s="5">
        <v>4018</v>
      </c>
      <c r="D17" s="5">
        <v>3210</v>
      </c>
      <c r="E17" s="2">
        <v>333</v>
      </c>
      <c r="F17" s="5">
        <v>5587</v>
      </c>
      <c r="G17" s="2">
        <v>386</v>
      </c>
    </row>
    <row r="18" spans="1:7" x14ac:dyDescent="0.3">
      <c r="A18" s="2" t="s">
        <v>30</v>
      </c>
      <c r="B18" s="5">
        <v>6440</v>
      </c>
      <c r="C18" s="5">
        <v>1728</v>
      </c>
      <c r="D18" s="5">
        <v>1427</v>
      </c>
      <c r="E18" s="2">
        <v>378</v>
      </c>
      <c r="F18" s="5">
        <v>20668</v>
      </c>
      <c r="G18" s="2">
        <v>291</v>
      </c>
    </row>
    <row r="19" spans="1:7" x14ac:dyDescent="0.3">
      <c r="A19" s="2" t="s">
        <v>31</v>
      </c>
      <c r="B19" s="5">
        <v>9956</v>
      </c>
      <c r="C19" s="5">
        <v>2398</v>
      </c>
      <c r="D19" s="5">
        <v>1851</v>
      </c>
      <c r="E19" s="2">
        <v>372</v>
      </c>
      <c r="F19" s="5">
        <v>7976</v>
      </c>
      <c r="G19" s="2">
        <v>364</v>
      </c>
    </row>
    <row r="20" spans="1:7" x14ac:dyDescent="0.3">
      <c r="A20" s="2" t="s">
        <v>32</v>
      </c>
      <c r="B20" s="5">
        <v>26014</v>
      </c>
      <c r="C20" s="5">
        <v>5986</v>
      </c>
      <c r="D20" s="5">
        <v>4622</v>
      </c>
      <c r="E20" s="2">
        <v>646</v>
      </c>
      <c r="F20" s="5">
        <v>8334</v>
      </c>
      <c r="G20" s="5">
        <v>1006</v>
      </c>
    </row>
    <row r="21" spans="1:7" ht="28.8" x14ac:dyDescent="0.3">
      <c r="A21" s="2" t="s">
        <v>33</v>
      </c>
      <c r="B21" s="5">
        <v>18850</v>
      </c>
      <c r="C21" s="5">
        <v>4723</v>
      </c>
      <c r="D21" s="5">
        <v>3629</v>
      </c>
      <c r="E21" s="2">
        <v>846</v>
      </c>
      <c r="F21" s="5">
        <v>8666</v>
      </c>
      <c r="G21" s="2">
        <v>814</v>
      </c>
    </row>
    <row r="22" spans="1:7" x14ac:dyDescent="0.3">
      <c r="A22" s="2" t="s">
        <v>34</v>
      </c>
      <c r="B22" s="2">
        <v>441</v>
      </c>
      <c r="C22" s="5">
        <v>-1238</v>
      </c>
      <c r="D22" s="2">
        <v>-387</v>
      </c>
      <c r="E22" s="2">
        <v>160</v>
      </c>
      <c r="F22" s="5">
        <v>68076</v>
      </c>
      <c r="G22" s="2">
        <v>-74</v>
      </c>
    </row>
    <row r="23" spans="1:7" x14ac:dyDescent="0.3">
      <c r="A23" s="2" t="s">
        <v>35</v>
      </c>
      <c r="B23" s="5">
        <v>76118</v>
      </c>
      <c r="C23" s="5">
        <v>17615</v>
      </c>
      <c r="D23" s="5">
        <v>14352</v>
      </c>
      <c r="E23" s="5">
        <v>2735</v>
      </c>
      <c r="F23" s="5">
        <v>119307</v>
      </c>
      <c r="G23" s="5">
        <v>2787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B9EE4-8B64-40AE-A360-59CC512B9E41}">
  <sheetPr codeName="Sheet2">
    <pageSetUpPr fitToPage="1"/>
  </sheetPr>
  <dimension ref="A1:F23"/>
  <sheetViews>
    <sheetView topLeftCell="A3" workbookViewId="0">
      <selection activeCell="D4" sqref="D4:F21"/>
    </sheetView>
  </sheetViews>
  <sheetFormatPr defaultColWidth="21.44140625" defaultRowHeight="13.2" x14ac:dyDescent="0.25"/>
  <cols>
    <col min="1" max="1" width="78.44140625" style="7" customWidth="1"/>
    <col min="2" max="2" width="15.77734375" style="7" customWidth="1"/>
    <col min="3" max="3" width="0.77734375" style="7" customWidth="1"/>
    <col min="4" max="4" width="15.77734375" style="7" customWidth="1"/>
    <col min="5" max="5" width="0.77734375" style="7" customWidth="1"/>
    <col min="6" max="6" width="15.77734375" style="7" customWidth="1"/>
    <col min="7" max="16384" width="21.44140625" style="7"/>
  </cols>
  <sheetData>
    <row r="1" spans="1:6" ht="13.8" x14ac:dyDescent="0.25">
      <c r="A1" s="6" t="s">
        <v>36</v>
      </c>
    </row>
    <row r="2" spans="1:6" ht="13.8" x14ac:dyDescent="0.25">
      <c r="A2" s="6" t="s">
        <v>37</v>
      </c>
      <c r="B2" s="8" t="s">
        <v>38</v>
      </c>
      <c r="C2" s="9" t="s">
        <v>38</v>
      </c>
      <c r="D2" s="8" t="s">
        <v>38</v>
      </c>
      <c r="E2" s="9" t="s">
        <v>38</v>
      </c>
      <c r="F2" s="8" t="s">
        <v>38</v>
      </c>
    </row>
    <row r="3" spans="1:6" x14ac:dyDescent="0.25">
      <c r="A3" s="10"/>
      <c r="B3" s="8"/>
      <c r="C3" s="11" t="s">
        <v>38</v>
      </c>
      <c r="D3" s="11" t="s">
        <v>38</v>
      </c>
      <c r="E3" s="11" t="s">
        <v>38</v>
      </c>
      <c r="F3" s="11" t="s">
        <v>38</v>
      </c>
    </row>
    <row r="4" spans="1:6" ht="18.75" customHeight="1" x14ac:dyDescent="0.25">
      <c r="A4" s="12" t="s">
        <v>39</v>
      </c>
      <c r="B4" s="13">
        <v>44377</v>
      </c>
      <c r="C4" s="9" t="s">
        <v>40</v>
      </c>
      <c r="D4" s="13"/>
      <c r="E4" s="9"/>
      <c r="F4" s="13"/>
    </row>
    <row r="5" spans="1:6" x14ac:dyDescent="0.25">
      <c r="A5" s="14" t="s">
        <v>41</v>
      </c>
      <c r="B5" s="15">
        <v>76118</v>
      </c>
      <c r="C5" s="16"/>
      <c r="D5" s="17"/>
      <c r="E5" s="16"/>
      <c r="F5" s="17"/>
    </row>
    <row r="6" spans="1:6" x14ac:dyDescent="0.25">
      <c r="A6" s="18" t="s">
        <v>42</v>
      </c>
      <c r="B6" s="19">
        <v>37108</v>
      </c>
      <c r="C6" s="10"/>
      <c r="D6" s="20"/>
      <c r="E6" s="10"/>
      <c r="F6" s="20"/>
    </row>
    <row r="7" spans="1:6" x14ac:dyDescent="0.25">
      <c r="A7" s="21" t="s">
        <v>43</v>
      </c>
      <c r="B7" s="22">
        <v>21024</v>
      </c>
      <c r="C7" s="16"/>
      <c r="D7" s="23"/>
      <c r="E7" s="16"/>
      <c r="F7" s="23"/>
    </row>
    <row r="8" spans="1:6" x14ac:dyDescent="0.25">
      <c r="A8" s="18" t="s">
        <v>44</v>
      </c>
      <c r="B8" s="19">
        <v>0</v>
      </c>
      <c r="C8" s="10"/>
      <c r="D8" s="20"/>
      <c r="E8" s="10"/>
      <c r="F8" s="20"/>
    </row>
    <row r="9" spans="1:6" x14ac:dyDescent="0.25">
      <c r="A9" s="14" t="s">
        <v>45</v>
      </c>
      <c r="B9" s="24">
        <v>17986</v>
      </c>
      <c r="C9" s="16"/>
      <c r="D9" s="25"/>
      <c r="E9" s="16"/>
      <c r="F9" s="25"/>
    </row>
    <row r="10" spans="1:6" x14ac:dyDescent="0.25">
      <c r="A10" s="18" t="s">
        <v>46</v>
      </c>
      <c r="B10" s="26">
        <v>-502</v>
      </c>
      <c r="C10" s="10"/>
      <c r="D10" s="27"/>
      <c r="E10" s="10"/>
      <c r="F10" s="27"/>
    </row>
    <row r="11" spans="1:6" x14ac:dyDescent="0.25">
      <c r="A11" s="21" t="s">
        <v>47</v>
      </c>
      <c r="B11" s="22">
        <v>45</v>
      </c>
      <c r="C11" s="16"/>
      <c r="D11" s="23"/>
      <c r="E11" s="16"/>
      <c r="F11" s="23"/>
    </row>
    <row r="12" spans="1:6" x14ac:dyDescent="0.25">
      <c r="A12" s="18" t="s">
        <v>48</v>
      </c>
      <c r="B12" s="28">
        <v>86</v>
      </c>
      <c r="C12" s="10"/>
      <c r="D12" s="29"/>
      <c r="E12" s="10"/>
      <c r="F12" s="29"/>
    </row>
    <row r="13" spans="1:6" x14ac:dyDescent="0.25">
      <c r="A13" s="14" t="s">
        <v>49</v>
      </c>
      <c r="B13" s="24">
        <v>17615</v>
      </c>
      <c r="C13" s="16"/>
      <c r="D13" s="25"/>
      <c r="E13" s="16"/>
      <c r="F13" s="25"/>
    </row>
    <row r="14" spans="1:6" x14ac:dyDescent="0.25">
      <c r="A14" s="18" t="s">
        <v>50</v>
      </c>
      <c r="B14" s="28">
        <v>3263</v>
      </c>
      <c r="C14" s="10"/>
      <c r="D14" s="29"/>
      <c r="E14" s="10"/>
      <c r="F14" s="29"/>
    </row>
    <row r="15" spans="1:6" x14ac:dyDescent="0.25">
      <c r="A15" s="14" t="s">
        <v>51</v>
      </c>
      <c r="B15" s="24">
        <v>14352</v>
      </c>
      <c r="C15" s="16"/>
      <c r="D15" s="25"/>
      <c r="E15" s="16"/>
      <c r="F15" s="25"/>
    </row>
    <row r="16" spans="1:6" x14ac:dyDescent="0.25">
      <c r="A16" s="18" t="s">
        <v>52</v>
      </c>
      <c r="B16" s="26">
        <v>46</v>
      </c>
      <c r="C16" s="10"/>
      <c r="D16" s="27"/>
      <c r="E16" s="10"/>
      <c r="F16" s="27"/>
    </row>
    <row r="17" spans="1:6" ht="13.8" thickBot="1" x14ac:dyDescent="0.3">
      <c r="A17" s="14" t="s">
        <v>53</v>
      </c>
      <c r="B17" s="30">
        <v>14306</v>
      </c>
      <c r="C17" s="16"/>
      <c r="D17" s="31"/>
      <c r="E17" s="16"/>
      <c r="F17" s="31"/>
    </row>
    <row r="18" spans="1:6" ht="13.8" thickTop="1" x14ac:dyDescent="0.25">
      <c r="A18" s="10"/>
      <c r="B18" s="10"/>
      <c r="C18" s="10"/>
      <c r="D18" s="10"/>
      <c r="E18" s="10"/>
      <c r="F18" s="10"/>
    </row>
    <row r="19" spans="1:6" ht="15.6" x14ac:dyDescent="0.25">
      <c r="A19" s="14" t="s">
        <v>54</v>
      </c>
      <c r="B19" s="16"/>
      <c r="C19" s="16"/>
      <c r="D19" s="16"/>
      <c r="E19" s="16"/>
      <c r="F19" s="16"/>
    </row>
    <row r="20" spans="1:6" x14ac:dyDescent="0.25">
      <c r="A20" s="18" t="s">
        <v>55</v>
      </c>
      <c r="B20" s="32">
        <v>5.69</v>
      </c>
      <c r="C20" s="10"/>
      <c r="D20" s="33"/>
      <c r="E20" s="10"/>
      <c r="F20" s="33"/>
    </row>
    <row r="21" spans="1:6" x14ac:dyDescent="0.25">
      <c r="A21" s="21" t="s">
        <v>56</v>
      </c>
      <c r="B21" s="34">
        <v>5.5</v>
      </c>
      <c r="C21" s="16"/>
      <c r="D21" s="35"/>
      <c r="E21" s="16"/>
      <c r="F21" s="35"/>
    </row>
    <row r="23" spans="1:6" ht="26.25" customHeight="1" x14ac:dyDescent="0.25">
      <c r="A23" s="137" t="s">
        <v>57</v>
      </c>
      <c r="B23" s="137"/>
      <c r="C23" s="137"/>
      <c r="D23" s="137"/>
      <c r="E23" s="137"/>
      <c r="F23" s="137"/>
    </row>
  </sheetData>
  <mergeCells count="1">
    <mergeCell ref="A23:F23"/>
  </mergeCells>
  <pageMargins left="0.7" right="0.7" top="0.75" bottom="0.75" header="0.3" footer="0.3"/>
  <pageSetup scale="7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33C9-FA62-42FC-A92E-111229A236AA}">
  <sheetPr codeName="Sheet3">
    <pageSetUpPr fitToPage="1"/>
  </sheetPr>
  <dimension ref="A1:F97"/>
  <sheetViews>
    <sheetView workbookViewId="0">
      <selection activeCell="D4" sqref="D4:F13"/>
    </sheetView>
  </sheetViews>
  <sheetFormatPr defaultColWidth="21.44140625" defaultRowHeight="13.2" x14ac:dyDescent="0.25"/>
  <cols>
    <col min="1" max="1" width="98.109375" style="7" customWidth="1"/>
    <col min="2" max="2" width="11.6640625" style="7" customWidth="1"/>
    <col min="3" max="3" width="0.77734375" style="7" customWidth="1"/>
    <col min="4" max="4" width="11.6640625" style="7" customWidth="1"/>
    <col min="5" max="5" width="0.77734375" style="7" customWidth="1"/>
    <col min="6" max="6" width="11.6640625" style="7" customWidth="1"/>
    <col min="7" max="16384" width="21.44140625" style="7"/>
  </cols>
  <sheetData>
    <row r="1" spans="1:6" ht="13.8" x14ac:dyDescent="0.25">
      <c r="A1" s="36" t="s">
        <v>36</v>
      </c>
    </row>
    <row r="2" spans="1:6" ht="13.8" x14ac:dyDescent="0.25">
      <c r="A2" s="36" t="s">
        <v>58</v>
      </c>
    </row>
    <row r="3" spans="1:6" ht="15" customHeight="1" x14ac:dyDescent="0.25">
      <c r="B3" s="37"/>
      <c r="C3" s="38"/>
      <c r="D3" s="38"/>
      <c r="E3" s="38"/>
      <c r="F3" s="38"/>
    </row>
    <row r="4" spans="1:6" ht="15" customHeight="1" x14ac:dyDescent="0.25">
      <c r="A4" s="12" t="s">
        <v>59</v>
      </c>
      <c r="B4" s="13">
        <v>44377</v>
      </c>
      <c r="D4" s="13"/>
      <c r="F4" s="13"/>
    </row>
    <row r="5" spans="1:6" ht="15" customHeight="1" x14ac:dyDescent="0.25">
      <c r="A5" s="39" t="s">
        <v>60</v>
      </c>
      <c r="B5" s="40">
        <v>14352</v>
      </c>
      <c r="C5" s="41"/>
      <c r="D5" s="42"/>
      <c r="E5" s="41"/>
      <c r="F5" s="42"/>
    </row>
    <row r="6" spans="1:6" ht="15" customHeight="1" x14ac:dyDescent="0.25">
      <c r="A6" s="43" t="s">
        <v>61</v>
      </c>
      <c r="B6" s="44"/>
      <c r="C6" s="10"/>
      <c r="D6" s="10"/>
      <c r="E6" s="10"/>
      <c r="F6" s="10"/>
    </row>
    <row r="7" spans="1:6" ht="15" customHeight="1" x14ac:dyDescent="0.25">
      <c r="A7" s="45" t="s">
        <v>62</v>
      </c>
      <c r="B7" s="22">
        <v>1023</v>
      </c>
      <c r="C7" s="41"/>
      <c r="D7" s="23"/>
      <c r="E7" s="41"/>
      <c r="F7" s="23"/>
    </row>
    <row r="8" spans="1:6" ht="15" customHeight="1" x14ac:dyDescent="0.25">
      <c r="A8" s="46" t="s">
        <v>63</v>
      </c>
      <c r="B8" s="47">
        <v>16</v>
      </c>
      <c r="C8" s="48"/>
      <c r="D8" s="49"/>
      <c r="E8" s="48"/>
      <c r="F8" s="49"/>
    </row>
    <row r="9" spans="1:6" ht="15" customHeight="1" x14ac:dyDescent="0.25">
      <c r="A9" s="45" t="s">
        <v>64</v>
      </c>
      <c r="B9" s="50">
        <v>1386</v>
      </c>
      <c r="C9" s="41"/>
      <c r="D9" s="51"/>
      <c r="E9" s="41"/>
      <c r="F9" s="51"/>
    </row>
    <row r="10" spans="1:6" ht="15" customHeight="1" x14ac:dyDescent="0.25">
      <c r="A10" s="52" t="s">
        <v>65</v>
      </c>
      <c r="B10" s="53">
        <f>+B7+B8+B9</f>
        <v>2425</v>
      </c>
      <c r="C10" s="48"/>
      <c r="D10" s="54"/>
      <c r="E10" s="48"/>
      <c r="F10" s="54"/>
    </row>
    <row r="11" spans="1:6" ht="15" customHeight="1" x14ac:dyDescent="0.25">
      <c r="A11" s="14" t="s">
        <v>66</v>
      </c>
      <c r="B11" s="24">
        <f>+B5+B10</f>
        <v>16777</v>
      </c>
      <c r="C11" s="41"/>
      <c r="D11" s="25"/>
      <c r="E11" s="41"/>
      <c r="F11" s="25"/>
    </row>
    <row r="12" spans="1:6" ht="15" customHeight="1" x14ac:dyDescent="0.25">
      <c r="A12" s="18" t="s">
        <v>67</v>
      </c>
      <c r="B12" s="47">
        <v>50</v>
      </c>
      <c r="C12" s="48"/>
      <c r="D12" s="49"/>
      <c r="E12" s="48"/>
      <c r="F12" s="49"/>
    </row>
    <row r="13" spans="1:6" ht="15" customHeight="1" thickBot="1" x14ac:dyDescent="0.3">
      <c r="A13" s="14" t="s">
        <v>68</v>
      </c>
      <c r="B13" s="30">
        <f>+B11-B12</f>
        <v>16727</v>
      </c>
      <c r="C13" s="41"/>
      <c r="D13" s="31"/>
      <c r="E13" s="41"/>
      <c r="F13" s="31"/>
    </row>
    <row r="14" spans="1:6" ht="15" customHeight="1" thickTop="1" x14ac:dyDescent="0.25"/>
    <row r="15" spans="1:6" ht="15" customHeight="1" x14ac:dyDescent="0.25"/>
    <row r="16" spans="1: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</sheetData>
  <pageMargins left="0.7" right="0.7" top="0.75" bottom="0.75" header="0.3" footer="0.3"/>
  <pageSetup scale="7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E7359-453C-4499-8D8D-E0DE9C1C55CC}">
  <sheetPr codeName="Sheet4">
    <pageSetUpPr fitToPage="1"/>
  </sheetPr>
  <dimension ref="A1:Z79"/>
  <sheetViews>
    <sheetView topLeftCell="A9" workbookViewId="0">
      <selection activeCell="A25" sqref="A25"/>
    </sheetView>
  </sheetViews>
  <sheetFormatPr defaultColWidth="21.44140625" defaultRowHeight="13.2" x14ac:dyDescent="0.25"/>
  <cols>
    <col min="1" max="1" width="92.77734375" style="7" customWidth="1"/>
    <col min="2" max="2" width="14.109375" style="7" customWidth="1"/>
    <col min="3" max="3" width="0.77734375" style="7" customWidth="1"/>
    <col min="4" max="4" width="14.109375" style="7" customWidth="1"/>
    <col min="5" max="16384" width="21.44140625" style="7"/>
  </cols>
  <sheetData>
    <row r="1" spans="1:26" ht="13.8" x14ac:dyDescent="0.25">
      <c r="A1" s="36" t="s">
        <v>36</v>
      </c>
    </row>
    <row r="2" spans="1:26" ht="13.8" x14ac:dyDescent="0.25">
      <c r="A2" s="36" t="s">
        <v>69</v>
      </c>
      <c r="C2" s="55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s="56" customFormat="1" ht="12.75" customHeight="1" x14ac:dyDescent="0.2"/>
    <row r="4" spans="1:26" ht="15" customHeight="1" x14ac:dyDescent="0.25">
      <c r="A4" s="57" t="s">
        <v>70</v>
      </c>
      <c r="B4" s="13">
        <v>44377</v>
      </c>
      <c r="C4" s="9" t="s">
        <v>40</v>
      </c>
      <c r="D4" s="13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25">
      <c r="A5" s="58" t="s">
        <v>71</v>
      </c>
      <c r="B5" s="16"/>
      <c r="C5" s="59" t="s">
        <v>40</v>
      </c>
      <c r="D5" s="16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25">
      <c r="A6" s="52" t="s">
        <v>72</v>
      </c>
      <c r="B6" s="10"/>
      <c r="C6" s="60" t="s">
        <v>40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5">
      <c r="A7" s="21" t="s">
        <v>73</v>
      </c>
      <c r="B7" s="61">
        <v>10288</v>
      </c>
      <c r="C7" s="59" t="s">
        <v>40</v>
      </c>
      <c r="D7" s="62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5">
      <c r="A8" s="18" t="s">
        <v>74</v>
      </c>
      <c r="B8" s="63">
        <v>4725</v>
      </c>
      <c r="C8" s="60" t="s">
        <v>40</v>
      </c>
      <c r="D8" s="64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25">
      <c r="A9" s="65" t="s">
        <v>75</v>
      </c>
      <c r="B9" s="66"/>
      <c r="C9" s="59" t="s">
        <v>40</v>
      </c>
      <c r="D9" s="67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x14ac:dyDescent="0.25">
      <c r="A10" s="68" t="s">
        <v>76</v>
      </c>
      <c r="B10" s="63">
        <v>1645</v>
      </c>
      <c r="C10" s="60" t="s">
        <v>40</v>
      </c>
      <c r="D10" s="64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x14ac:dyDescent="0.25">
      <c r="A11" s="69" t="s">
        <v>77</v>
      </c>
      <c r="B11" s="70">
        <v>719</v>
      </c>
      <c r="C11" s="59" t="s">
        <v>40</v>
      </c>
      <c r="D11" s="66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x14ac:dyDescent="0.25">
      <c r="A12" s="68" t="s">
        <v>78</v>
      </c>
      <c r="B12" s="71">
        <v>3619</v>
      </c>
      <c r="C12" s="60" t="s">
        <v>40</v>
      </c>
      <c r="D12" s="72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x14ac:dyDescent="0.25">
      <c r="A13" s="21" t="s">
        <v>79</v>
      </c>
      <c r="B13" s="70">
        <f>SUM(B10:B12)</f>
        <v>5983</v>
      </c>
      <c r="C13" s="59" t="s">
        <v>40</v>
      </c>
      <c r="D13" s="66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x14ac:dyDescent="0.25">
      <c r="A14" s="18" t="s">
        <v>80</v>
      </c>
      <c r="B14" s="71">
        <v>2095</v>
      </c>
      <c r="C14" s="60" t="s">
        <v>40</v>
      </c>
      <c r="D14" s="64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x14ac:dyDescent="0.25">
      <c r="A15" s="14" t="s">
        <v>81</v>
      </c>
      <c r="B15" s="73">
        <f>+B14+B13+B8+B7</f>
        <v>23091</v>
      </c>
      <c r="C15" s="59" t="s">
        <v>40</v>
      </c>
      <c r="D15" s="74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x14ac:dyDescent="0.25">
      <c r="A16" s="52" t="s">
        <v>82</v>
      </c>
      <c r="B16" s="63">
        <v>21686</v>
      </c>
      <c r="C16" s="60" t="s">
        <v>40</v>
      </c>
      <c r="D16" s="64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x14ac:dyDescent="0.25">
      <c r="A17" s="14" t="s">
        <v>83</v>
      </c>
      <c r="B17" s="70">
        <v>40924</v>
      </c>
      <c r="C17" s="59" t="s">
        <v>40</v>
      </c>
      <c r="D17" s="66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x14ac:dyDescent="0.25">
      <c r="A18" s="52" t="s">
        <v>84</v>
      </c>
      <c r="B18" s="63">
        <v>23642</v>
      </c>
      <c r="C18" s="60" t="s">
        <v>40</v>
      </c>
      <c r="D18" s="64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x14ac:dyDescent="0.25">
      <c r="A19" s="14" t="s">
        <v>85</v>
      </c>
      <c r="B19" s="73">
        <v>9964</v>
      </c>
      <c r="C19" s="59" t="s">
        <v>40</v>
      </c>
      <c r="D19" s="75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3.8" thickBot="1" x14ac:dyDescent="0.3">
      <c r="A20" s="52" t="s">
        <v>86</v>
      </c>
      <c r="B20" s="76">
        <f>+SUM(B15:B19)</f>
        <v>119307</v>
      </c>
      <c r="C20" s="60" t="s">
        <v>40</v>
      </c>
      <c r="D20" s="77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3.8" thickTop="1" x14ac:dyDescent="0.25">
      <c r="A21" s="16"/>
      <c r="B21" s="16"/>
      <c r="C21" s="16"/>
      <c r="D21" s="16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x14ac:dyDescent="0.25">
      <c r="A22" s="12" t="s">
        <v>87</v>
      </c>
      <c r="B22" s="10"/>
      <c r="C22" s="60" t="s">
        <v>40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x14ac:dyDescent="0.25">
      <c r="A23" s="14" t="s">
        <v>88</v>
      </c>
      <c r="B23" s="16"/>
      <c r="C23" s="59" t="s">
        <v>40</v>
      </c>
      <c r="D23" s="16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x14ac:dyDescent="0.25">
      <c r="A24" s="18" t="s">
        <v>89</v>
      </c>
      <c r="B24" s="78">
        <v>13720</v>
      </c>
      <c r="C24" s="60" t="s">
        <v>40</v>
      </c>
      <c r="D24" s="79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x14ac:dyDescent="0.25">
      <c r="A25" s="21" t="s">
        <v>90</v>
      </c>
      <c r="B25" s="70">
        <v>10523</v>
      </c>
      <c r="C25" s="59" t="s">
        <v>40</v>
      </c>
      <c r="D25" s="66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x14ac:dyDescent="0.25">
      <c r="A26" s="18" t="s">
        <v>91</v>
      </c>
      <c r="B26" s="71">
        <v>8889</v>
      </c>
      <c r="C26" s="60" t="s">
        <v>40</v>
      </c>
      <c r="D26" s="72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x14ac:dyDescent="0.25">
      <c r="A27" s="14" t="s">
        <v>92</v>
      </c>
      <c r="B27" s="80">
        <f>+SUM(B24:B26)</f>
        <v>33132</v>
      </c>
      <c r="C27" s="59" t="s">
        <v>40</v>
      </c>
      <c r="D27" s="74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x14ac:dyDescent="0.25">
      <c r="A28" s="52" t="s">
        <v>93</v>
      </c>
      <c r="B28" s="63">
        <v>23099</v>
      </c>
      <c r="C28" s="60" t="s">
        <v>40</v>
      </c>
      <c r="D28" s="64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x14ac:dyDescent="0.25">
      <c r="A29" s="14" t="s">
        <v>94</v>
      </c>
      <c r="B29" s="70">
        <v>6153</v>
      </c>
      <c r="C29" s="59" t="s">
        <v>40</v>
      </c>
      <c r="D29" s="66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x14ac:dyDescent="0.25">
      <c r="A30" s="52" t="s">
        <v>95</v>
      </c>
      <c r="B30" s="71">
        <v>10269</v>
      </c>
      <c r="C30" s="60" t="s">
        <v>40</v>
      </c>
      <c r="D30" s="72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x14ac:dyDescent="0.25">
      <c r="A31" s="14" t="s">
        <v>96</v>
      </c>
      <c r="B31" s="73">
        <f>+SUM(B27:B30)</f>
        <v>72653</v>
      </c>
      <c r="C31" s="59" t="s">
        <v>40</v>
      </c>
      <c r="D31" s="75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x14ac:dyDescent="0.25">
      <c r="A32" s="52" t="s">
        <v>97</v>
      </c>
      <c r="B32" s="10"/>
      <c r="C32" s="60" t="s">
        <v>40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x14ac:dyDescent="0.25">
      <c r="A33" s="21" t="s">
        <v>98</v>
      </c>
      <c r="B33" s="70">
        <v>870</v>
      </c>
      <c r="C33" s="59" t="s">
        <v>40</v>
      </c>
      <c r="D33" s="66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x14ac:dyDescent="0.25">
      <c r="A34" s="18" t="s">
        <v>99</v>
      </c>
      <c r="B34" s="63">
        <v>0</v>
      </c>
      <c r="C34" s="60" t="s">
        <v>40</v>
      </c>
      <c r="D34" s="64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25.5" customHeight="1" x14ac:dyDescent="0.25">
      <c r="A35" s="21" t="s">
        <v>100</v>
      </c>
      <c r="B35" s="70">
        <v>4009</v>
      </c>
      <c r="C35" s="59" t="s">
        <v>40</v>
      </c>
      <c r="D35" s="66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x14ac:dyDescent="0.25">
      <c r="A36" s="18" t="s">
        <v>101</v>
      </c>
      <c r="B36" s="63">
        <v>64848</v>
      </c>
      <c r="C36" s="60" t="s">
        <v>40</v>
      </c>
      <c r="D36" s="64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x14ac:dyDescent="0.25">
      <c r="A37" s="21" t="s">
        <v>102</v>
      </c>
      <c r="B37" s="70">
        <v>-1006</v>
      </c>
      <c r="C37" s="59" t="s">
        <v>40</v>
      </c>
      <c r="D37" s="66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x14ac:dyDescent="0.25">
      <c r="A38" s="18" t="s">
        <v>103</v>
      </c>
      <c r="B38" s="63">
        <v>-13744</v>
      </c>
      <c r="C38" s="60" t="s">
        <v>40</v>
      </c>
      <c r="D38" s="64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x14ac:dyDescent="0.25">
      <c r="A39" s="21" t="s">
        <v>104</v>
      </c>
      <c r="B39" s="70">
        <v>-114973</v>
      </c>
      <c r="C39" s="59" t="s">
        <v>40</v>
      </c>
      <c r="D39" s="66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x14ac:dyDescent="0.25">
      <c r="A40" s="18" t="s">
        <v>105</v>
      </c>
      <c r="B40" s="63">
        <v>106374</v>
      </c>
      <c r="C40" s="60" t="s">
        <v>40</v>
      </c>
      <c r="D40" s="64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x14ac:dyDescent="0.25">
      <c r="A41" s="21" t="s">
        <v>106</v>
      </c>
      <c r="B41" s="73">
        <v>276</v>
      </c>
      <c r="C41" s="59" t="s">
        <v>40</v>
      </c>
      <c r="D41" s="75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x14ac:dyDescent="0.25">
      <c r="A42" s="52" t="s">
        <v>107</v>
      </c>
      <c r="B42" s="71">
        <f>+SUM(B33:B41)</f>
        <v>46654</v>
      </c>
      <c r="C42" s="60" t="s">
        <v>40</v>
      </c>
      <c r="D42" s="81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3.8" thickBot="1" x14ac:dyDescent="0.3">
      <c r="A43" s="14" t="s">
        <v>108</v>
      </c>
      <c r="B43" s="82">
        <f>+B42+B31</f>
        <v>119307</v>
      </c>
      <c r="C43" s="59" t="s">
        <v>40</v>
      </c>
      <c r="D43" s="83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" customHeight="1" thickTop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" customHeigh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" customHeigh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" customHeigh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" customHeigh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" customHeigh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" customHeigh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" customHeigh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" customHeigh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" customHeigh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" customHeigh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" customHeigh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" customHeigh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" customHeigh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" customHeigh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" customHeigh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" customHeigh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" customHeigh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" customHeigh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" customHeigh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" customHeigh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" customHeigh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" customHeigh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" customHeigh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" customHeigh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" customHeigh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" customHeigh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" customHeigh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" customHeigh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" customHeigh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" customHeigh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" customHeigh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" customHeigh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" customHeigh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" customHeigh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</sheetData>
  <pageMargins left="0.7" right="0.7" top="0.75" bottom="0.75" header="0.3" footer="0.3"/>
  <pageSetup scale="8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C2A65-F2B5-4CCB-A52B-4A9097F205C9}">
  <sheetPr codeName="Sheet5">
    <pageSetUpPr fitToPage="1"/>
  </sheetPr>
  <dimension ref="A1:Q90"/>
  <sheetViews>
    <sheetView topLeftCell="F21" workbookViewId="0">
      <selection activeCell="L40" sqref="L40"/>
    </sheetView>
  </sheetViews>
  <sheetFormatPr defaultColWidth="21.44140625" defaultRowHeight="13.2" x14ac:dyDescent="0.25"/>
  <cols>
    <col min="1" max="1" width="50.6640625" style="7" customWidth="1"/>
    <col min="2" max="2" width="16" style="7" customWidth="1"/>
    <col min="3" max="6" width="19.44140625" style="7" customWidth="1"/>
    <col min="7" max="7" width="18.6640625" style="7" bestFit="1" customWidth="1"/>
    <col min="8" max="11" width="19.44140625" style="7" customWidth="1"/>
    <col min="12" max="16384" width="21.44140625" style="7"/>
  </cols>
  <sheetData>
    <row r="1" spans="1:17" ht="13.8" x14ac:dyDescent="0.25">
      <c r="A1" s="138" t="s">
        <v>36</v>
      </c>
      <c r="B1" s="138"/>
    </row>
    <row r="2" spans="1:17" ht="13.8" x14ac:dyDescent="0.25">
      <c r="A2" s="84" t="s">
        <v>109</v>
      </c>
      <c r="E2" s="85"/>
      <c r="F2" s="85"/>
      <c r="G2" s="85"/>
      <c r="H2" s="85"/>
      <c r="I2" s="85"/>
      <c r="J2" s="85"/>
      <c r="K2" s="86"/>
      <c r="L2" s="10"/>
      <c r="M2" s="10"/>
      <c r="N2" s="10"/>
      <c r="O2" s="10"/>
      <c r="P2" s="10"/>
      <c r="Q2" s="10"/>
    </row>
    <row r="3" spans="1:17" ht="13.8" x14ac:dyDescent="0.25">
      <c r="A3" s="84"/>
      <c r="E3" s="85"/>
      <c r="F3" s="85"/>
      <c r="G3" s="85"/>
      <c r="H3" s="85"/>
      <c r="I3" s="85"/>
      <c r="J3" s="85"/>
      <c r="K3" s="86"/>
      <c r="L3" s="10"/>
      <c r="M3" s="10"/>
      <c r="N3" s="10"/>
      <c r="O3" s="10"/>
      <c r="P3" s="10"/>
      <c r="Q3" s="10"/>
    </row>
    <row r="4" spans="1:17" ht="13.8" x14ac:dyDescent="0.25">
      <c r="A4" s="84"/>
      <c r="B4" s="139" t="s">
        <v>110</v>
      </c>
      <c r="C4" s="139"/>
      <c r="E4" s="85"/>
      <c r="F4" s="85"/>
      <c r="G4" s="85"/>
      <c r="H4" s="85"/>
      <c r="I4" s="85"/>
      <c r="J4" s="85"/>
      <c r="K4" s="86"/>
      <c r="L4" s="10"/>
      <c r="M4" s="10"/>
      <c r="N4" s="10"/>
      <c r="O4" s="10"/>
      <c r="P4" s="10"/>
      <c r="Q4" s="10"/>
    </row>
    <row r="5" spans="1:17" ht="31.2" x14ac:dyDescent="0.25">
      <c r="A5" s="57" t="s">
        <v>111</v>
      </c>
      <c r="B5" s="88" t="s">
        <v>112</v>
      </c>
      <c r="C5" s="87" t="s">
        <v>113</v>
      </c>
      <c r="D5" s="87" t="s">
        <v>114</v>
      </c>
      <c r="E5" s="87" t="s">
        <v>115</v>
      </c>
      <c r="F5" s="87" t="s">
        <v>116</v>
      </c>
      <c r="G5" s="87" t="s">
        <v>117</v>
      </c>
      <c r="H5" s="87" t="s">
        <v>118</v>
      </c>
      <c r="I5" s="87" t="s">
        <v>119</v>
      </c>
      <c r="J5" s="87" t="s">
        <v>120</v>
      </c>
      <c r="K5" s="87" t="s">
        <v>121</v>
      </c>
    </row>
    <row r="6" spans="1:17" ht="15" customHeight="1" x14ac:dyDescent="0.25">
      <c r="A6" s="14" t="s">
        <v>122</v>
      </c>
      <c r="B6" s="89">
        <v>2498093</v>
      </c>
      <c r="C6" s="17">
        <v>4009</v>
      </c>
      <c r="D6" s="17">
        <v>967</v>
      </c>
      <c r="E6" s="17">
        <v>63846</v>
      </c>
      <c r="F6" s="17">
        <v>-1204</v>
      </c>
      <c r="G6" s="17">
        <v>-14749</v>
      </c>
      <c r="H6" s="17">
        <v>-99217</v>
      </c>
      <c r="I6" s="17">
        <v>98641</v>
      </c>
      <c r="J6" s="17">
        <v>590</v>
      </c>
      <c r="K6" s="17">
        <v>52883</v>
      </c>
    </row>
    <row r="7" spans="1:17" ht="15" customHeight="1" x14ac:dyDescent="0.25">
      <c r="A7" s="60" t="s">
        <v>123</v>
      </c>
      <c r="B7" s="90"/>
      <c r="C7" s="91"/>
      <c r="D7" s="91"/>
      <c r="E7" s="91"/>
      <c r="F7" s="91"/>
      <c r="G7" s="91">
        <v>-326</v>
      </c>
      <c r="H7" s="91"/>
      <c r="I7" s="91">
        <v>-200</v>
      </c>
      <c r="J7" s="91">
        <v>-27</v>
      </c>
      <c r="K7" s="49">
        <f>SUM(C7:J7)</f>
        <v>-553</v>
      </c>
    </row>
    <row r="8" spans="1:17" ht="15" customHeight="1" x14ac:dyDescent="0.25">
      <c r="A8" s="59" t="s">
        <v>124</v>
      </c>
      <c r="B8" s="92"/>
      <c r="C8" s="93"/>
      <c r="D8" s="93"/>
      <c r="E8" s="93"/>
      <c r="F8" s="93"/>
      <c r="G8" s="93"/>
      <c r="H8" s="93"/>
      <c r="I8" s="94">
        <v>3897</v>
      </c>
      <c r="J8" s="94">
        <v>69</v>
      </c>
      <c r="K8" s="94">
        <f>SUM(C8:J8)</f>
        <v>3966</v>
      </c>
    </row>
    <row r="9" spans="1:17" ht="15" customHeight="1" x14ac:dyDescent="0.25">
      <c r="A9" s="60" t="s">
        <v>125</v>
      </c>
      <c r="B9" s="90"/>
      <c r="C9" s="48"/>
      <c r="D9" s="48"/>
      <c r="E9" s="48"/>
      <c r="F9" s="48"/>
      <c r="G9" s="49">
        <v>139</v>
      </c>
      <c r="H9" s="48"/>
      <c r="I9" s="48"/>
      <c r="J9" s="48">
        <v>1</v>
      </c>
      <c r="K9" s="49">
        <f>SUM(C9:J9)</f>
        <v>140</v>
      </c>
    </row>
    <row r="10" spans="1:17" ht="15" customHeight="1" x14ac:dyDescent="0.25">
      <c r="A10" s="95" t="s">
        <v>126</v>
      </c>
      <c r="B10" s="92"/>
      <c r="C10" s="41"/>
      <c r="D10" s="41"/>
      <c r="E10" s="41"/>
      <c r="F10" s="41"/>
      <c r="G10" s="41"/>
      <c r="H10" s="41"/>
      <c r="I10" s="41"/>
      <c r="J10" s="41"/>
      <c r="K10" s="41"/>
    </row>
    <row r="11" spans="1:17" ht="15" customHeight="1" x14ac:dyDescent="0.25">
      <c r="A11" s="96" t="s">
        <v>127</v>
      </c>
      <c r="B11" s="90"/>
      <c r="C11" s="48"/>
      <c r="D11" s="48"/>
      <c r="E11" s="48"/>
      <c r="F11" s="48"/>
      <c r="G11" s="48"/>
      <c r="H11" s="48"/>
      <c r="I11" s="49">
        <v>-7256</v>
      </c>
      <c r="J11" s="49"/>
      <c r="K11" s="49">
        <f t="shared" ref="K11:K17" si="0">SUM(C11:J11)</f>
        <v>-7256</v>
      </c>
    </row>
    <row r="12" spans="1:17" ht="15" customHeight="1" x14ac:dyDescent="0.25">
      <c r="A12" s="97" t="s">
        <v>128</v>
      </c>
      <c r="B12" s="92"/>
      <c r="C12" s="41"/>
      <c r="D12" s="41"/>
      <c r="E12" s="41"/>
      <c r="F12" s="41"/>
      <c r="G12" s="41"/>
      <c r="H12" s="41"/>
      <c r="I12" s="23">
        <v>-263</v>
      </c>
      <c r="J12" s="41"/>
      <c r="K12" s="23">
        <f t="shared" si="0"/>
        <v>-263</v>
      </c>
    </row>
    <row r="13" spans="1:17" ht="15" customHeight="1" x14ac:dyDescent="0.25">
      <c r="A13" s="60" t="s">
        <v>129</v>
      </c>
      <c r="B13" s="98">
        <v>-53714</v>
      </c>
      <c r="C13" s="48"/>
      <c r="D13" s="48"/>
      <c r="E13" s="48"/>
      <c r="F13" s="48"/>
      <c r="G13" s="48"/>
      <c r="H13" s="49">
        <v>-5003</v>
      </c>
      <c r="I13" s="48"/>
      <c r="J13" s="48"/>
      <c r="K13" s="49">
        <f>SUM(C13:J13)</f>
        <v>-5003</v>
      </c>
    </row>
    <row r="14" spans="1:17" ht="15" customHeight="1" x14ac:dyDescent="0.25">
      <c r="A14" s="59" t="s">
        <v>130</v>
      </c>
      <c r="B14" s="99">
        <v>55734</v>
      </c>
      <c r="C14" s="23"/>
      <c r="D14" s="41"/>
      <c r="E14" s="23">
        <v>93</v>
      </c>
      <c r="F14" s="41"/>
      <c r="G14" s="41"/>
      <c r="H14" s="23">
        <v>3781</v>
      </c>
      <c r="I14" s="41"/>
      <c r="J14" s="41"/>
      <c r="K14" s="23">
        <f t="shared" si="0"/>
        <v>3874</v>
      </c>
    </row>
    <row r="15" spans="1:17" ht="15" customHeight="1" x14ac:dyDescent="0.25">
      <c r="A15" s="60" t="s">
        <v>131</v>
      </c>
      <c r="B15" s="98">
        <v>4638</v>
      </c>
      <c r="C15" s="48"/>
      <c r="D15" s="49">
        <v>-39</v>
      </c>
      <c r="E15" s="49">
        <v>6</v>
      </c>
      <c r="F15" s="48"/>
      <c r="G15" s="48"/>
      <c r="H15" s="49">
        <v>33</v>
      </c>
      <c r="I15" s="48"/>
      <c r="J15" s="48"/>
      <c r="K15" s="49">
        <f t="shared" si="0"/>
        <v>0</v>
      </c>
    </row>
    <row r="16" spans="1:17" ht="15" customHeight="1" x14ac:dyDescent="0.25">
      <c r="A16" s="59" t="s">
        <v>132</v>
      </c>
      <c r="B16" s="92"/>
      <c r="C16" s="41"/>
      <c r="D16" s="41"/>
      <c r="E16" s="41"/>
      <c r="F16" s="23">
        <v>58</v>
      </c>
      <c r="G16" s="41"/>
      <c r="H16" s="41"/>
      <c r="I16" s="23">
        <v>99</v>
      </c>
      <c r="J16" s="41"/>
      <c r="K16" s="23">
        <f t="shared" si="0"/>
        <v>157</v>
      </c>
    </row>
    <row r="17" spans="1:11" ht="15" customHeight="1" x14ac:dyDescent="0.25">
      <c r="A17" s="60" t="s">
        <v>133</v>
      </c>
      <c r="B17" s="90"/>
      <c r="C17" s="48"/>
      <c r="D17" s="48"/>
      <c r="E17" s="49">
        <v>-118</v>
      </c>
      <c r="F17" s="48"/>
      <c r="G17" s="48"/>
      <c r="H17" s="48"/>
      <c r="I17" s="48"/>
      <c r="J17" s="49">
        <v>-248</v>
      </c>
      <c r="K17" s="49">
        <f t="shared" si="0"/>
        <v>-366</v>
      </c>
    </row>
    <row r="18" spans="1:11" ht="14.1" customHeight="1" x14ac:dyDescent="0.25">
      <c r="A18" s="14" t="s">
        <v>134</v>
      </c>
      <c r="B18" s="100">
        <f>SUM(B6:B17)</f>
        <v>2504751</v>
      </c>
      <c r="C18" s="101">
        <f t="shared" ref="C18:K18" si="1">SUM(C6:C17)</f>
        <v>4009</v>
      </c>
      <c r="D18" s="42">
        <f t="shared" si="1"/>
        <v>928</v>
      </c>
      <c r="E18" s="42">
        <f t="shared" si="1"/>
        <v>63827</v>
      </c>
      <c r="F18" s="42">
        <f t="shared" si="1"/>
        <v>-1146</v>
      </c>
      <c r="G18" s="42">
        <f t="shared" si="1"/>
        <v>-14936</v>
      </c>
      <c r="H18" s="42">
        <f t="shared" si="1"/>
        <v>-100406</v>
      </c>
      <c r="I18" s="42">
        <f t="shared" si="1"/>
        <v>94918</v>
      </c>
      <c r="J18" s="42">
        <f t="shared" si="1"/>
        <v>385</v>
      </c>
      <c r="K18" s="42">
        <f t="shared" si="1"/>
        <v>47579</v>
      </c>
    </row>
    <row r="19" spans="1:11" ht="14.1" customHeight="1" x14ac:dyDescent="0.25">
      <c r="A19" s="60" t="s">
        <v>124</v>
      </c>
      <c r="B19" s="90"/>
      <c r="C19" s="48"/>
      <c r="D19" s="48"/>
      <c r="E19" s="48"/>
      <c r="F19" s="48"/>
      <c r="G19" s="49"/>
      <c r="H19" s="48"/>
      <c r="I19" s="48">
        <v>13027</v>
      </c>
      <c r="J19" s="102">
        <v>76</v>
      </c>
      <c r="K19" s="49">
        <f>SUM(C19:J19)</f>
        <v>13103</v>
      </c>
    </row>
    <row r="20" spans="1:11" ht="14.1" customHeight="1" x14ac:dyDescent="0.25">
      <c r="A20" s="59" t="s">
        <v>125</v>
      </c>
      <c r="B20" s="92"/>
      <c r="C20" s="41"/>
      <c r="D20" s="41"/>
      <c r="E20" s="41"/>
      <c r="F20" s="41"/>
      <c r="G20" s="41">
        <v>-1229</v>
      </c>
      <c r="H20" s="41"/>
      <c r="I20" s="41"/>
      <c r="J20" s="41">
        <v>-16</v>
      </c>
      <c r="K20" s="41">
        <f>SUM(C20:J20)</f>
        <v>-1245</v>
      </c>
    </row>
    <row r="21" spans="1:11" ht="14.1" customHeight="1" x14ac:dyDescent="0.25">
      <c r="A21" s="38" t="s">
        <v>135</v>
      </c>
      <c r="B21" s="90"/>
      <c r="C21" s="48"/>
      <c r="D21" s="48"/>
      <c r="E21" s="48"/>
      <c r="F21" s="48"/>
      <c r="G21" s="48"/>
      <c r="H21" s="48"/>
      <c r="I21" s="49"/>
      <c r="J21" s="49"/>
      <c r="K21" s="49"/>
    </row>
    <row r="22" spans="1:11" ht="14.1" customHeight="1" x14ac:dyDescent="0.25">
      <c r="A22" s="97" t="s">
        <v>127</v>
      </c>
      <c r="B22" s="92"/>
      <c r="C22" s="41"/>
      <c r="D22" s="41"/>
      <c r="E22" s="41"/>
      <c r="F22" s="41"/>
      <c r="G22" s="41"/>
      <c r="H22" s="41"/>
      <c r="I22" s="23">
        <v>-7551</v>
      </c>
      <c r="J22" s="41"/>
      <c r="K22" s="23">
        <f t="shared" ref="K22:K28" si="2">SUM(C22:J22)</f>
        <v>-7551</v>
      </c>
    </row>
    <row r="23" spans="1:11" ht="14.1" customHeight="1" x14ac:dyDescent="0.25">
      <c r="A23" s="96" t="s">
        <v>128</v>
      </c>
      <c r="B23" s="98"/>
      <c r="C23" s="48"/>
      <c r="D23" s="48"/>
      <c r="E23" s="48"/>
      <c r="F23" s="48"/>
      <c r="G23" s="48"/>
      <c r="H23" s="49"/>
      <c r="I23" s="48">
        <v>-263</v>
      </c>
      <c r="J23" s="48"/>
      <c r="K23" s="49">
        <f t="shared" si="2"/>
        <v>-263</v>
      </c>
    </row>
    <row r="24" spans="1:11" ht="14.1" customHeight="1" x14ac:dyDescent="0.25">
      <c r="A24" s="59" t="s">
        <v>129</v>
      </c>
      <c r="B24" s="99">
        <v>-61346</v>
      </c>
      <c r="C24" s="23"/>
      <c r="D24" s="41"/>
      <c r="E24" s="23"/>
      <c r="F24" s="41"/>
      <c r="G24" s="41"/>
      <c r="H24" s="23">
        <v>-7405</v>
      </c>
      <c r="I24" s="41"/>
      <c r="J24" s="41"/>
      <c r="K24" s="23">
        <f t="shared" si="2"/>
        <v>-7405</v>
      </c>
    </row>
    <row r="25" spans="1:11" ht="14.1" customHeight="1" x14ac:dyDescent="0.25">
      <c r="A25" s="60" t="s">
        <v>130</v>
      </c>
      <c r="B25" s="98">
        <v>32603</v>
      </c>
      <c r="C25" s="48"/>
      <c r="D25" s="49"/>
      <c r="E25" s="49">
        <v>362</v>
      </c>
      <c r="F25" s="48"/>
      <c r="G25" s="48"/>
      <c r="H25" s="49">
        <v>2212</v>
      </c>
      <c r="I25" s="48"/>
      <c r="J25" s="48"/>
      <c r="K25" s="49">
        <f t="shared" si="2"/>
        <v>2574</v>
      </c>
    </row>
    <row r="26" spans="1:11" ht="14.1" customHeight="1" x14ac:dyDescent="0.25">
      <c r="A26" s="59" t="s">
        <v>131</v>
      </c>
      <c r="B26" s="92">
        <v>3738</v>
      </c>
      <c r="C26" s="41"/>
      <c r="D26" s="41">
        <v>-31</v>
      </c>
      <c r="E26" s="41">
        <v>5</v>
      </c>
      <c r="F26" s="23"/>
      <c r="G26" s="41"/>
      <c r="H26" s="41">
        <v>26</v>
      </c>
      <c r="I26" s="23"/>
      <c r="J26" s="41"/>
      <c r="K26" s="23">
        <f t="shared" si="2"/>
        <v>0</v>
      </c>
    </row>
    <row r="27" spans="1:11" ht="14.1" customHeight="1" x14ac:dyDescent="0.25">
      <c r="A27" s="60" t="s">
        <v>132</v>
      </c>
      <c r="B27" s="90"/>
      <c r="C27" s="48"/>
      <c r="D27" s="48"/>
      <c r="E27" s="49"/>
      <c r="F27" s="48">
        <v>66</v>
      </c>
      <c r="G27" s="48"/>
      <c r="H27" s="48"/>
      <c r="I27" s="48">
        <v>108</v>
      </c>
      <c r="J27" s="49"/>
      <c r="K27" s="49">
        <f t="shared" si="2"/>
        <v>174</v>
      </c>
    </row>
    <row r="28" spans="1:11" ht="14.1" customHeight="1" x14ac:dyDescent="0.25">
      <c r="A28" s="59" t="s">
        <v>133</v>
      </c>
      <c r="B28" s="92"/>
      <c r="C28" s="41"/>
      <c r="D28" s="41"/>
      <c r="E28" s="41"/>
      <c r="F28" s="23"/>
      <c r="G28" s="41"/>
      <c r="H28" s="41"/>
      <c r="I28" s="23"/>
      <c r="J28" s="41">
        <v>-88</v>
      </c>
      <c r="K28" s="23">
        <f t="shared" si="2"/>
        <v>-88</v>
      </c>
    </row>
    <row r="29" spans="1:11" ht="14.1" customHeight="1" x14ac:dyDescent="0.25">
      <c r="A29" s="52" t="s">
        <v>136</v>
      </c>
      <c r="B29" s="103">
        <f t="shared" ref="B29:K29" si="3">SUM(B18:B28)</f>
        <v>2479746</v>
      </c>
      <c r="C29" s="104">
        <f t="shared" si="3"/>
        <v>4009</v>
      </c>
      <c r="D29" s="105">
        <f t="shared" si="3"/>
        <v>897</v>
      </c>
      <c r="E29" s="105">
        <f t="shared" si="3"/>
        <v>64194</v>
      </c>
      <c r="F29" s="105">
        <f t="shared" si="3"/>
        <v>-1080</v>
      </c>
      <c r="G29" s="105">
        <f t="shared" si="3"/>
        <v>-16165</v>
      </c>
      <c r="H29" s="105">
        <f t="shared" si="3"/>
        <v>-105573</v>
      </c>
      <c r="I29" s="105">
        <f t="shared" si="3"/>
        <v>100239</v>
      </c>
      <c r="J29" s="105">
        <f t="shared" si="3"/>
        <v>357</v>
      </c>
      <c r="K29" s="105">
        <f t="shared" si="3"/>
        <v>46878</v>
      </c>
    </row>
    <row r="30" spans="1:11" ht="14.1" customHeight="1" x14ac:dyDescent="0.25">
      <c r="A30" s="59" t="s">
        <v>124</v>
      </c>
      <c r="B30" s="106"/>
      <c r="C30" s="107"/>
      <c r="D30" s="107"/>
      <c r="E30" s="107"/>
      <c r="F30" s="107"/>
      <c r="G30" s="107"/>
      <c r="H30" s="107"/>
      <c r="I30" s="108">
        <v>14306</v>
      </c>
      <c r="J30" s="108">
        <v>46</v>
      </c>
      <c r="K30" s="107">
        <f>SUM(C30:J30)</f>
        <v>14352</v>
      </c>
    </row>
    <row r="31" spans="1:11" ht="14.1" customHeight="1" x14ac:dyDescent="0.25">
      <c r="A31" s="60" t="s">
        <v>125</v>
      </c>
      <c r="B31" s="109"/>
      <c r="C31" s="110"/>
      <c r="D31" s="110"/>
      <c r="E31" s="110"/>
      <c r="F31" s="110"/>
      <c r="G31" s="110">
        <v>2421</v>
      </c>
      <c r="H31" s="110"/>
      <c r="I31" s="110"/>
      <c r="J31" s="110">
        <v>4</v>
      </c>
      <c r="K31" s="110">
        <f>SUM(C31:J31)</f>
        <v>2425</v>
      </c>
    </row>
    <row r="32" spans="1:11" ht="14.1" customHeight="1" x14ac:dyDescent="0.25">
      <c r="A32" s="59" t="s">
        <v>137</v>
      </c>
      <c r="B32" s="106"/>
      <c r="C32" s="107"/>
      <c r="D32" s="107"/>
      <c r="E32" s="107"/>
      <c r="F32" s="107"/>
      <c r="G32" s="107"/>
      <c r="H32" s="107"/>
      <c r="I32" s="107"/>
      <c r="J32" s="107"/>
      <c r="K32" s="107">
        <f t="shared" ref="K32:K38" si="4">SUM(C32:J32)</f>
        <v>0</v>
      </c>
    </row>
    <row r="33" spans="1:11" ht="14.1" customHeight="1" x14ac:dyDescent="0.25">
      <c r="A33" s="18" t="s">
        <v>127</v>
      </c>
      <c r="B33" s="109"/>
      <c r="C33" s="110"/>
      <c r="D33" s="110"/>
      <c r="E33" s="110"/>
      <c r="F33" s="110"/>
      <c r="G33" s="110"/>
      <c r="H33" s="110"/>
      <c r="I33" s="110">
        <v>-8020</v>
      </c>
      <c r="J33" s="110"/>
      <c r="K33" s="110">
        <f t="shared" si="4"/>
        <v>-8020</v>
      </c>
    </row>
    <row r="34" spans="1:11" ht="14.1" customHeight="1" x14ac:dyDescent="0.25">
      <c r="A34" s="21" t="s">
        <v>128</v>
      </c>
      <c r="B34" s="111"/>
      <c r="C34" s="107"/>
      <c r="D34" s="107"/>
      <c r="E34" s="107"/>
      <c r="F34" s="107"/>
      <c r="G34" s="107"/>
      <c r="H34" s="107"/>
      <c r="I34" s="107">
        <v>-271</v>
      </c>
      <c r="J34" s="107"/>
      <c r="K34" s="107">
        <f t="shared" si="4"/>
        <v>-271</v>
      </c>
    </row>
    <row r="35" spans="1:11" ht="14.1" customHeight="1" x14ac:dyDescent="0.25">
      <c r="A35" s="60" t="s">
        <v>129</v>
      </c>
      <c r="B35" s="112">
        <v>-81343</v>
      </c>
      <c r="C35" s="110"/>
      <c r="D35" s="110"/>
      <c r="E35" s="110"/>
      <c r="F35" s="110"/>
      <c r="G35" s="110"/>
      <c r="H35" s="110">
        <v>-11009</v>
      </c>
      <c r="I35" s="110"/>
      <c r="J35" s="110"/>
      <c r="K35" s="110">
        <f t="shared" si="4"/>
        <v>-11009</v>
      </c>
    </row>
    <row r="36" spans="1:11" ht="14.1" customHeight="1" x14ac:dyDescent="0.25">
      <c r="A36" s="59" t="s">
        <v>130</v>
      </c>
      <c r="B36" s="111">
        <v>28001</v>
      </c>
      <c r="C36" s="107"/>
      <c r="D36" s="107"/>
      <c r="E36" s="107">
        <v>650</v>
      </c>
      <c r="F36" s="107"/>
      <c r="G36" s="107"/>
      <c r="H36" s="107">
        <v>1586</v>
      </c>
      <c r="I36" s="107"/>
      <c r="J36" s="107"/>
      <c r="K36" s="107">
        <f t="shared" si="4"/>
        <v>2236</v>
      </c>
    </row>
    <row r="37" spans="1:11" ht="14.1" customHeight="1" x14ac:dyDescent="0.25">
      <c r="A37" s="60" t="s">
        <v>131</v>
      </c>
      <c r="B37" s="109">
        <v>3302</v>
      </c>
      <c r="C37" s="110"/>
      <c r="D37" s="110">
        <v>-27</v>
      </c>
      <c r="E37" s="110">
        <v>4</v>
      </c>
      <c r="F37" s="110"/>
      <c r="G37" s="110"/>
      <c r="H37" s="110">
        <v>23</v>
      </c>
      <c r="I37" s="110"/>
      <c r="J37" s="110"/>
      <c r="K37" s="110">
        <f t="shared" si="4"/>
        <v>0</v>
      </c>
    </row>
    <row r="38" spans="1:11" ht="14.1" customHeight="1" x14ac:dyDescent="0.25">
      <c r="A38" s="59" t="s">
        <v>132</v>
      </c>
      <c r="B38" s="106"/>
      <c r="C38" s="107"/>
      <c r="D38" s="107"/>
      <c r="E38" s="107"/>
      <c r="F38" s="107">
        <v>74</v>
      </c>
      <c r="G38" s="107"/>
      <c r="H38" s="107"/>
      <c r="I38" s="107">
        <v>120</v>
      </c>
      <c r="J38" s="107"/>
      <c r="K38" s="107">
        <f t="shared" si="4"/>
        <v>194</v>
      </c>
    </row>
    <row r="39" spans="1:11" ht="14.1" customHeight="1" x14ac:dyDescent="0.25">
      <c r="A39" s="60" t="s">
        <v>133</v>
      </c>
      <c r="B39" s="109"/>
      <c r="C39" s="110"/>
      <c r="D39" s="110"/>
      <c r="E39" s="110"/>
      <c r="F39" s="110"/>
      <c r="G39" s="110"/>
      <c r="H39" s="110"/>
      <c r="I39" s="110"/>
      <c r="J39" s="110">
        <v>-131</v>
      </c>
      <c r="K39" s="110">
        <f>SUM(C39:J39)</f>
        <v>-131</v>
      </c>
    </row>
    <row r="40" spans="1:11" ht="14.1" customHeight="1" thickBot="1" x14ac:dyDescent="0.3">
      <c r="A40" s="14" t="s">
        <v>138</v>
      </c>
      <c r="B40" s="113">
        <f>+SUM(B29:B39)</f>
        <v>2429706</v>
      </c>
      <c r="C40" s="30">
        <f>+SUM(C29:C39)</f>
        <v>4009</v>
      </c>
      <c r="D40" s="30">
        <f>+SUM(D29:D39)</f>
        <v>870</v>
      </c>
      <c r="E40" s="30">
        <f t="shared" ref="E40:K40" si="5">+SUM(E29:E39)</f>
        <v>64848</v>
      </c>
      <c r="F40" s="30">
        <f t="shared" si="5"/>
        <v>-1006</v>
      </c>
      <c r="G40" s="30">
        <f t="shared" si="5"/>
        <v>-13744</v>
      </c>
      <c r="H40" s="30">
        <f t="shared" si="5"/>
        <v>-114973</v>
      </c>
      <c r="I40" s="30">
        <f t="shared" si="5"/>
        <v>106374</v>
      </c>
      <c r="J40" s="30">
        <f>+SUM(J29:J39)</f>
        <v>276</v>
      </c>
      <c r="K40" s="30">
        <f t="shared" si="5"/>
        <v>46654</v>
      </c>
    </row>
    <row r="41" spans="1:11" ht="15" customHeight="1" thickTop="1" x14ac:dyDescent="0.25">
      <c r="A41" s="137"/>
      <c r="B41" s="137"/>
      <c r="C41" s="137"/>
      <c r="D41" s="137"/>
      <c r="E41" s="137"/>
      <c r="F41" s="114"/>
      <c r="G41" s="114"/>
      <c r="H41" s="114"/>
      <c r="I41" s="114"/>
      <c r="J41" s="114"/>
      <c r="K41" s="114"/>
    </row>
    <row r="42" spans="1:11" ht="15" customHeight="1" x14ac:dyDescent="0.25">
      <c r="A42" s="115"/>
      <c r="B42" s="115"/>
      <c r="C42" s="115"/>
      <c r="D42" s="115"/>
      <c r="E42" s="115"/>
      <c r="F42" s="114"/>
      <c r="G42" s="114"/>
      <c r="H42" s="114"/>
      <c r="I42" s="114"/>
      <c r="J42" s="114"/>
      <c r="K42" s="114"/>
    </row>
    <row r="43" spans="1:11" ht="15" customHeigh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</row>
    <row r="44" spans="1:11" ht="15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</row>
    <row r="45" spans="1:11" ht="1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</row>
    <row r="46" spans="1:11" ht="15" customHeigh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</row>
    <row r="47" spans="1:11" ht="15" customHeigh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</row>
    <row r="48" spans="1:11" ht="15" customHeigh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</row>
    <row r="49" spans="1:11" ht="15" customHeigh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</row>
    <row r="50" spans="1:11" ht="15" customHeigh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</row>
    <row r="51" spans="1:11" ht="15" customHeigh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</row>
    <row r="52" spans="1:11" ht="15" customHeigh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</row>
    <row r="53" spans="1:11" ht="15" customHeigh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</row>
    <row r="54" spans="1:11" ht="15" customHeigh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</row>
    <row r="55" spans="1:11" ht="15" customHeigh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</row>
    <row r="56" spans="1:11" ht="15" customHeigh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</row>
    <row r="57" spans="1:11" ht="15" customHeigh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</row>
    <row r="58" spans="1:11" ht="15" customHeigh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</row>
    <row r="59" spans="1:11" ht="15" customHeigh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</row>
    <row r="60" spans="1:11" ht="15" customHeigh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</row>
    <row r="61" spans="1:11" ht="15" customHeigh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</row>
    <row r="62" spans="1:11" ht="15" customHeigh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</row>
    <row r="63" spans="1:11" ht="15" customHeigh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</row>
    <row r="64" spans="1:11" ht="15" customHeigh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</row>
    <row r="65" spans="1:11" ht="15" customHeigh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</row>
    <row r="66" spans="1:11" ht="15" customHeigh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</row>
    <row r="67" spans="1:11" ht="15" customHeigh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</row>
    <row r="68" spans="1:11" ht="15" customHeigh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</row>
    <row r="69" spans="1:11" ht="15" customHeigh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</row>
    <row r="70" spans="1:11" ht="15" customHeigh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</row>
    <row r="71" spans="1:11" ht="15" customHeigh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</row>
    <row r="72" spans="1:11" ht="15" customHeigh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</row>
    <row r="73" spans="1:11" ht="15" customHeigh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</row>
    <row r="74" spans="1:11" ht="15" customHeigh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</row>
    <row r="75" spans="1:11" ht="15" customHeigh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76" spans="1:11" ht="15" customHeigh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</row>
    <row r="77" spans="1:11" ht="15" customHeigh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</row>
    <row r="78" spans="1:11" ht="15" customHeigh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</row>
    <row r="79" spans="1:11" ht="15" customHeigh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</row>
    <row r="80" spans="1:11" ht="15" customHeigh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</row>
    <row r="81" spans="1:11" ht="15" customHeigh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</row>
    <row r="82" spans="1:11" ht="15" customHeigh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</row>
    <row r="83" spans="1:11" ht="15" customHeigh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</row>
    <row r="84" spans="1:11" ht="15" customHeigh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</row>
    <row r="85" spans="1:1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</row>
    <row r="86" spans="1:1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</row>
    <row r="87" spans="1:1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</row>
    <row r="88" spans="1:1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</row>
    <row r="89" spans="1:1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</row>
    <row r="90" spans="1:1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</row>
  </sheetData>
  <mergeCells count="3">
    <mergeCell ref="A1:B1"/>
    <mergeCell ref="B4:C4"/>
    <mergeCell ref="A41:E41"/>
  </mergeCells>
  <pageMargins left="0.7" right="0.7" top="0.75" bottom="0.75" header="0.3" footer="0.3"/>
  <pageSetup scale="5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64AD0-FACD-41CE-9F7A-2AE4DC59C4E7}">
  <sheetPr codeName="Sheet6">
    <pageSetUpPr fitToPage="1"/>
  </sheetPr>
  <dimension ref="A1:Z49"/>
  <sheetViews>
    <sheetView workbookViewId="0">
      <selection activeCell="D4" sqref="D4"/>
    </sheetView>
  </sheetViews>
  <sheetFormatPr defaultColWidth="21.44140625" defaultRowHeight="13.2" x14ac:dyDescent="0.25"/>
  <cols>
    <col min="1" max="1" width="87.33203125" style="7" customWidth="1"/>
    <col min="2" max="2" width="14.109375" style="7" customWidth="1"/>
    <col min="3" max="3" width="0.77734375" style="7" customWidth="1"/>
    <col min="4" max="4" width="14.109375" style="7" customWidth="1"/>
    <col min="5" max="5" width="0.77734375" style="7" customWidth="1"/>
    <col min="6" max="6" width="14.109375" style="7" customWidth="1"/>
    <col min="7" max="16384" width="21.44140625" style="7"/>
  </cols>
  <sheetData>
    <row r="1" spans="1:26" ht="13.8" x14ac:dyDescent="0.25">
      <c r="A1" s="36" t="s">
        <v>36</v>
      </c>
    </row>
    <row r="2" spans="1:26" ht="13.8" x14ac:dyDescent="0.25">
      <c r="A2" s="36" t="s">
        <v>139</v>
      </c>
      <c r="B2" s="8" t="s">
        <v>38</v>
      </c>
      <c r="C2" s="9" t="s">
        <v>38</v>
      </c>
      <c r="D2" s="8" t="s">
        <v>38</v>
      </c>
      <c r="E2" s="9" t="s">
        <v>38</v>
      </c>
      <c r="F2" s="8" t="s">
        <v>38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 x14ac:dyDescent="0.25">
      <c r="A3" s="116"/>
      <c r="B3" s="37"/>
      <c r="C3" s="60"/>
      <c r="D3" s="60"/>
      <c r="E3" s="60"/>
      <c r="F3" s="6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 x14ac:dyDescent="0.25">
      <c r="A4" s="12" t="s">
        <v>140</v>
      </c>
      <c r="B4" s="13">
        <v>44377</v>
      </c>
      <c r="C4" s="9" t="s">
        <v>40</v>
      </c>
      <c r="D4" s="13"/>
      <c r="E4" s="9"/>
      <c r="F4" s="13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2.75" customHeight="1" x14ac:dyDescent="0.25">
      <c r="A5" s="14" t="s">
        <v>141</v>
      </c>
      <c r="B5" s="15">
        <v>16181</v>
      </c>
      <c r="C5" s="117" t="s">
        <v>40</v>
      </c>
      <c r="D5" s="17"/>
      <c r="E5" s="117"/>
      <c r="F5" s="17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6" x14ac:dyDescent="0.25">
      <c r="A6" s="52" t="s">
        <v>142</v>
      </c>
      <c r="B6" s="118"/>
      <c r="C6" s="60" t="s">
        <v>40</v>
      </c>
      <c r="D6" s="38"/>
      <c r="E6" s="60"/>
      <c r="F6" s="38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6" ht="12.75" customHeight="1" x14ac:dyDescent="0.25">
      <c r="A7" s="21" t="s">
        <v>124</v>
      </c>
      <c r="B7" s="22">
        <v>14352</v>
      </c>
      <c r="C7" s="119" t="s">
        <v>40</v>
      </c>
      <c r="D7" s="23"/>
      <c r="E7" s="119"/>
      <c r="F7" s="23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6" ht="12.75" customHeight="1" x14ac:dyDescent="0.25">
      <c r="A8" s="18" t="s">
        <v>143</v>
      </c>
      <c r="B8" s="47">
        <v>2735</v>
      </c>
      <c r="C8" s="120" t="s">
        <v>40</v>
      </c>
      <c r="D8" s="49"/>
      <c r="E8" s="120"/>
      <c r="F8" s="4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6" ht="12.75" customHeight="1" x14ac:dyDescent="0.25">
      <c r="A9" s="21" t="s">
        <v>144</v>
      </c>
      <c r="B9" s="22">
        <v>512</v>
      </c>
      <c r="C9" s="41"/>
      <c r="D9" s="23"/>
      <c r="E9" s="41"/>
      <c r="F9" s="121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6" ht="12.75" customHeight="1" x14ac:dyDescent="0.25">
      <c r="A10" s="18" t="s">
        <v>145</v>
      </c>
      <c r="B10" s="47">
        <v>540</v>
      </c>
      <c r="C10" s="120" t="s">
        <v>40</v>
      </c>
      <c r="D10" s="49"/>
      <c r="E10" s="120"/>
      <c r="F10" s="49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6" ht="12.75" customHeight="1" x14ac:dyDescent="0.25">
      <c r="A11" s="21" t="s">
        <v>146</v>
      </c>
      <c r="B11" s="22">
        <v>-258</v>
      </c>
      <c r="C11" s="41" t="s">
        <v>40</v>
      </c>
      <c r="D11" s="23"/>
      <c r="E11" s="41"/>
      <c r="F11" s="23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6" ht="12.75" customHeight="1" x14ac:dyDescent="0.25">
      <c r="A12" s="18" t="s">
        <v>147</v>
      </c>
      <c r="B12" s="47">
        <v>-16</v>
      </c>
      <c r="C12" s="120" t="s">
        <v>40</v>
      </c>
      <c r="D12" s="49"/>
      <c r="E12" s="120"/>
      <c r="F12" s="49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6" ht="12.75" customHeight="1" x14ac:dyDescent="0.25">
      <c r="A13" s="21" t="s">
        <v>148</v>
      </c>
      <c r="B13" s="122">
        <v>0</v>
      </c>
      <c r="C13" s="41"/>
      <c r="D13" s="121"/>
      <c r="E13" s="41"/>
      <c r="F13" s="23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6" ht="12.75" customHeight="1" x14ac:dyDescent="0.25">
      <c r="A14" s="18" t="s">
        <v>149</v>
      </c>
      <c r="B14" s="47">
        <v>-342</v>
      </c>
      <c r="C14" s="120" t="s">
        <v>40</v>
      </c>
      <c r="D14" s="49"/>
      <c r="E14" s="120"/>
      <c r="F14" s="49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6" ht="12.75" customHeight="1" x14ac:dyDescent="0.25">
      <c r="A15" s="21" t="s">
        <v>150</v>
      </c>
      <c r="B15" s="22">
        <v>-309</v>
      </c>
      <c r="C15" s="41" t="s">
        <v>40</v>
      </c>
      <c r="D15" s="23"/>
      <c r="E15" s="41"/>
      <c r="F15" s="23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6" ht="12.75" customHeight="1" x14ac:dyDescent="0.25">
      <c r="A16" s="18" t="s">
        <v>151</v>
      </c>
      <c r="B16" s="47">
        <v>1391</v>
      </c>
      <c r="C16" s="120" t="s">
        <v>40</v>
      </c>
      <c r="D16" s="49"/>
      <c r="E16" s="120"/>
      <c r="F16" s="49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2.75" customHeight="1" x14ac:dyDescent="0.25">
      <c r="A17" s="21" t="s">
        <v>152</v>
      </c>
      <c r="B17" s="22">
        <v>-369</v>
      </c>
      <c r="C17" s="41" t="s">
        <v>40</v>
      </c>
      <c r="D17" s="23"/>
      <c r="E17" s="41"/>
      <c r="F17" s="23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2.75" customHeight="1" x14ac:dyDescent="0.25">
      <c r="A18" s="18" t="s">
        <v>153</v>
      </c>
      <c r="B18" s="47">
        <v>135</v>
      </c>
      <c r="C18" s="120" t="s">
        <v>40</v>
      </c>
      <c r="D18" s="49"/>
      <c r="E18" s="120"/>
      <c r="F18" s="49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2.75" customHeight="1" x14ac:dyDescent="0.25">
      <c r="A19" s="123" t="s">
        <v>154</v>
      </c>
      <c r="B19" s="24">
        <f>SUM(B7:B18)</f>
        <v>18371</v>
      </c>
      <c r="C19" s="41" t="s">
        <v>40</v>
      </c>
      <c r="D19" s="25"/>
      <c r="E19" s="41"/>
      <c r="F19" s="25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x14ac:dyDescent="0.25">
      <c r="A20" s="52" t="s">
        <v>155</v>
      </c>
      <c r="B20" s="118"/>
      <c r="C20" s="60" t="s">
        <v>40</v>
      </c>
      <c r="D20" s="38"/>
      <c r="E20" s="60"/>
      <c r="F20" s="38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2.75" customHeight="1" x14ac:dyDescent="0.25">
      <c r="A21" s="21" t="s">
        <v>156</v>
      </c>
      <c r="B21" s="22">
        <v>-2787</v>
      </c>
      <c r="C21" s="41" t="s">
        <v>40</v>
      </c>
      <c r="D21" s="23"/>
      <c r="E21" s="41"/>
      <c r="F21" s="23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2.75" customHeight="1" x14ac:dyDescent="0.25">
      <c r="A22" s="18" t="s">
        <v>157</v>
      </c>
      <c r="B22" s="124">
        <v>42</v>
      </c>
      <c r="C22" s="120" t="s">
        <v>40</v>
      </c>
      <c r="D22" s="49"/>
      <c r="E22" s="120"/>
      <c r="F22" s="49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2.75" customHeight="1" x14ac:dyDescent="0.25">
      <c r="A23" s="21" t="s">
        <v>158</v>
      </c>
      <c r="B23" s="22">
        <v>-34</v>
      </c>
      <c r="C23" s="41" t="s">
        <v>40</v>
      </c>
      <c r="D23" s="23"/>
      <c r="E23" s="41"/>
      <c r="F23" s="23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2.75" customHeight="1" x14ac:dyDescent="0.25">
      <c r="A24" s="18" t="s">
        <v>159</v>
      </c>
      <c r="B24" s="124">
        <v>-55</v>
      </c>
      <c r="C24" s="48"/>
      <c r="D24" s="49"/>
      <c r="E24" s="48"/>
      <c r="F24" s="49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2.75" customHeight="1" x14ac:dyDescent="0.25">
      <c r="A25" s="21" t="s">
        <v>160</v>
      </c>
      <c r="B25" s="22">
        <v>0</v>
      </c>
      <c r="C25" s="41"/>
      <c r="D25" s="23"/>
      <c r="E25" s="41"/>
      <c r="F25" s="23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2.75" customHeight="1" x14ac:dyDescent="0.25">
      <c r="A26" s="18" t="s">
        <v>161</v>
      </c>
      <c r="B26" s="124">
        <v>0</v>
      </c>
      <c r="C26" s="120" t="s">
        <v>40</v>
      </c>
      <c r="D26" s="49"/>
      <c r="E26" s="120"/>
      <c r="F26" s="49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2.75" customHeight="1" x14ac:dyDescent="0.25">
      <c r="A27" s="123" t="s">
        <v>162</v>
      </c>
      <c r="B27" s="24">
        <f>SUM(B21:B26)</f>
        <v>-2834</v>
      </c>
      <c r="C27" s="41" t="s">
        <v>40</v>
      </c>
      <c r="D27" s="25"/>
      <c r="E27" s="41"/>
      <c r="F27" s="25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2.75" customHeight="1" x14ac:dyDescent="0.25">
      <c r="A28" s="52" t="s">
        <v>163</v>
      </c>
      <c r="B28" s="47"/>
      <c r="C28" s="120" t="s">
        <v>40</v>
      </c>
      <c r="D28" s="49"/>
      <c r="E28" s="120"/>
      <c r="F28" s="49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2.75" customHeight="1" x14ac:dyDescent="0.25">
      <c r="A29" s="21" t="s">
        <v>164</v>
      </c>
      <c r="B29" s="22">
        <v>-8263</v>
      </c>
      <c r="C29" s="41" t="s">
        <v>40</v>
      </c>
      <c r="D29" s="23"/>
      <c r="E29" s="41"/>
      <c r="F29" s="23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2.75" customHeight="1" x14ac:dyDescent="0.25">
      <c r="A30" s="18" t="s">
        <v>165</v>
      </c>
      <c r="B30" s="47">
        <v>-3333</v>
      </c>
      <c r="C30" s="120" t="s">
        <v>40</v>
      </c>
      <c r="D30" s="49"/>
      <c r="E30" s="120"/>
      <c r="F30" s="49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2.75" customHeight="1" x14ac:dyDescent="0.25">
      <c r="A31" s="21" t="s">
        <v>166</v>
      </c>
      <c r="B31" s="22">
        <v>4417</v>
      </c>
      <c r="C31" s="41" t="s">
        <v>40</v>
      </c>
      <c r="D31" s="23"/>
      <c r="E31" s="41"/>
      <c r="F31" s="23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2.75" customHeight="1" x14ac:dyDescent="0.25">
      <c r="A32" s="18" t="s">
        <v>167</v>
      </c>
      <c r="B32" s="47">
        <v>-4987</v>
      </c>
      <c r="C32" s="125" t="s">
        <v>40</v>
      </c>
      <c r="D32" s="49"/>
      <c r="E32" s="125"/>
      <c r="F32" s="49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6" ht="12.75" customHeight="1" x14ac:dyDescent="0.25">
      <c r="A33" s="21" t="s">
        <v>129</v>
      </c>
      <c r="B33" s="22">
        <v>-11009</v>
      </c>
      <c r="C33" s="41" t="s">
        <v>40</v>
      </c>
      <c r="D33" s="23"/>
      <c r="E33" s="41"/>
      <c r="F33" s="23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6" ht="12.75" customHeight="1" x14ac:dyDescent="0.25">
      <c r="A34" s="18" t="s">
        <v>168</v>
      </c>
      <c r="B34" s="47">
        <v>1644</v>
      </c>
      <c r="C34" s="125" t="s">
        <v>40</v>
      </c>
      <c r="D34" s="49"/>
      <c r="E34" s="125"/>
      <c r="F34" s="49"/>
      <c r="G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2.75" customHeight="1" x14ac:dyDescent="0.25">
      <c r="A35" s="14" t="s">
        <v>169</v>
      </c>
      <c r="B35" s="126">
        <f>SUM(B29:B34)</f>
        <v>-21531</v>
      </c>
      <c r="C35" s="119" t="s">
        <v>40</v>
      </c>
      <c r="D35" s="127"/>
      <c r="E35" s="119"/>
      <c r="F35" s="127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6" ht="24.75" customHeight="1" x14ac:dyDescent="0.25">
      <c r="A36" s="128" t="s">
        <v>170</v>
      </c>
      <c r="B36" s="53">
        <v>101</v>
      </c>
      <c r="C36" s="48" t="s">
        <v>40</v>
      </c>
      <c r="D36" s="54"/>
      <c r="E36" s="48"/>
      <c r="F36" s="54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6" ht="12.75" customHeight="1" x14ac:dyDescent="0.25">
      <c r="A37" s="14" t="s">
        <v>171</v>
      </c>
      <c r="B37" s="22">
        <f>+B19+B27+B35+B36</f>
        <v>-5893</v>
      </c>
      <c r="C37" s="119" t="s">
        <v>40</v>
      </c>
      <c r="D37" s="23"/>
      <c r="E37" s="119"/>
      <c r="F37" s="23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6" ht="12.75" customHeight="1" thickBot="1" x14ac:dyDescent="0.3">
      <c r="A38" s="128" t="s">
        <v>172</v>
      </c>
      <c r="B38" s="129">
        <f>+B5+B37</f>
        <v>10288</v>
      </c>
      <c r="C38" s="48" t="s">
        <v>40</v>
      </c>
      <c r="D38" s="130"/>
      <c r="E38" s="48"/>
      <c r="F38" s="13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6" ht="15" customHeight="1" thickTop="1" x14ac:dyDescent="0.25">
      <c r="A39" s="16"/>
      <c r="B39" s="16"/>
      <c r="C39" s="16"/>
      <c r="D39" s="16"/>
      <c r="E39" s="16"/>
      <c r="F39" s="16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x14ac:dyDescent="0.25">
      <c r="A40" s="52" t="s">
        <v>173</v>
      </c>
      <c r="B40" s="131"/>
      <c r="C40" s="60" t="s">
        <v>40</v>
      </c>
      <c r="D40" s="10"/>
      <c r="E40" s="6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6" ht="12.75" customHeight="1" x14ac:dyDescent="0.25">
      <c r="A41" s="132" t="s">
        <v>174</v>
      </c>
      <c r="B41" s="133">
        <v>531</v>
      </c>
      <c r="C41" s="117" t="s">
        <v>40</v>
      </c>
      <c r="D41" s="134"/>
      <c r="E41" s="117"/>
      <c r="F41" s="134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6" x14ac:dyDescent="0.25">
      <c r="A42" s="11" t="s">
        <v>175</v>
      </c>
      <c r="B42" s="47">
        <v>3822</v>
      </c>
      <c r="C42" s="10" t="s">
        <v>40</v>
      </c>
      <c r="D42" s="49"/>
      <c r="E42" s="49"/>
      <c r="F42" s="49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6" ht="15" customHeight="1" x14ac:dyDescent="0.25">
      <c r="A43" s="10" t="s">
        <v>176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" customHeigh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" customHeigh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" customHeigh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" customHeigh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</sheetData>
  <pageMargins left="0.7" right="0.7" top="0.75" bottom="0.75" header="0.3" footer="0.3"/>
  <pageSetup scale="7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Sales Data</vt:lpstr>
      <vt:lpstr>Cons Statement of Earnings 2021</vt:lpstr>
      <vt:lpstr>Cons Statement Comp Income 2021</vt:lpstr>
      <vt:lpstr>Cons Balance Sheet 2021</vt:lpstr>
      <vt:lpstr>Cons Statement of SE 2021</vt:lpstr>
      <vt:lpstr>Cons Statement of Cash 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Naresh Ramachandran</dc:creator>
  <cp:lastModifiedBy>Naresh Ramachandran</cp:lastModifiedBy>
  <dcterms:created xsi:type="dcterms:W3CDTF">2025-05-25T05:02:47Z</dcterms:created>
  <dcterms:modified xsi:type="dcterms:W3CDTF">2025-06-02T06:18:10Z</dcterms:modified>
</cp:coreProperties>
</file>